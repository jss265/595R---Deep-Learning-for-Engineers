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School\Winter 2026\ME EN 595R - Deep Learning for Engineers\595R---Deep-Learning-for-Engineers\HW 1 - MLP\"/>
    </mc:Choice>
  </mc:AlternateContent>
  <xr:revisionPtr revIDLastSave="0" documentId="13_ncr:1_{BDA0F19B-78AC-4B32-BAC5-3180FC90EC9A}" xr6:coauthVersionLast="47" xr6:coauthVersionMax="47" xr10:uidLastSave="{00000000-0000-0000-0000-000000000000}"/>
  <bookViews>
    <workbookView xWindow="-103" yWindow="-103" windowWidth="24892" windowHeight="15943" xr2:uid="{AA6CBDB3-D51B-4A00-AA94-D6F4A3505985}"/>
  </bookViews>
  <sheets>
    <sheet name="auto-mpg" sheetId="2" r:id="rId1"/>
    <sheet name="Sheet1" sheetId="1" r:id="rId2"/>
  </sheets>
  <definedNames>
    <definedName name="ExternalData_1" localSheetId="0" hidden="1">'auto-mpg'!$A$1:$I$399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N15" i="2"/>
  <c r="N23" i="2"/>
  <c r="N24" i="2"/>
  <c r="N25" i="2"/>
  <c r="N29" i="2"/>
  <c r="N40" i="2"/>
  <c r="N48" i="2"/>
  <c r="N49" i="2"/>
  <c r="N53" i="2"/>
  <c r="N54" i="2"/>
  <c r="N65" i="2"/>
  <c r="N73" i="2"/>
  <c r="N77" i="2"/>
  <c r="N78" i="2"/>
  <c r="N79" i="2"/>
  <c r="N93" i="2"/>
  <c r="N101" i="2"/>
  <c r="N102" i="2"/>
  <c r="N103" i="2"/>
  <c r="N104" i="2"/>
  <c r="N118" i="2"/>
  <c r="N126" i="2"/>
  <c r="N127" i="2"/>
  <c r="N128" i="2"/>
  <c r="N129" i="2"/>
  <c r="N143" i="2"/>
  <c r="N151" i="2"/>
  <c r="N152" i="2"/>
  <c r="N153" i="2"/>
  <c r="N157" i="2"/>
  <c r="N168" i="2"/>
  <c r="N176" i="2"/>
  <c r="N177" i="2"/>
  <c r="N181" i="2"/>
  <c r="N182" i="2"/>
  <c r="N193" i="2"/>
  <c r="N201" i="2"/>
  <c r="N205" i="2"/>
  <c r="N206" i="2"/>
  <c r="N207" i="2"/>
  <c r="N221" i="2"/>
  <c r="N229" i="2"/>
  <c r="N230" i="2"/>
  <c r="N231" i="2"/>
  <c r="N232" i="2"/>
  <c r="N246" i="2"/>
  <c r="N254" i="2"/>
  <c r="N255" i="2"/>
  <c r="N256" i="2"/>
  <c r="N257" i="2"/>
  <c r="N271" i="2"/>
  <c r="N278" i="2"/>
  <c r="N279" i="2"/>
  <c r="N280" i="2"/>
  <c r="N281" i="2"/>
  <c r="N294" i="2"/>
  <c r="N295" i="2"/>
  <c r="N296" i="2"/>
  <c r="N303" i="2"/>
  <c r="N304" i="2"/>
  <c r="N317" i="2"/>
  <c r="N318" i="2"/>
  <c r="N319" i="2"/>
  <c r="N320" i="2"/>
  <c r="N321" i="2"/>
  <c r="N334" i="2"/>
  <c r="N335" i="2"/>
  <c r="N342" i="2"/>
  <c r="N343" i="2"/>
  <c r="N344" i="2"/>
  <c r="N357" i="2"/>
  <c r="N358" i="2"/>
  <c r="N359" i="2"/>
  <c r="N360" i="2"/>
  <c r="N367" i="2"/>
  <c r="N374" i="2"/>
  <c r="N381" i="2"/>
  <c r="N382" i="2"/>
  <c r="N383" i="2"/>
  <c r="N384" i="2"/>
  <c r="N397" i="2"/>
  <c r="N398" i="2"/>
  <c r="N399" i="2"/>
  <c r="M9" i="2"/>
  <c r="M10" i="2"/>
  <c r="M20" i="2"/>
  <c r="M24" i="2"/>
  <c r="M25" i="2"/>
  <c r="M26" i="2"/>
  <c r="M27" i="2"/>
  <c r="M40" i="2"/>
  <c r="M41" i="2"/>
  <c r="M48" i="2"/>
  <c r="M49" i="2"/>
  <c r="M50" i="2"/>
  <c r="M60" i="2"/>
  <c r="M64" i="2"/>
  <c r="M65" i="2"/>
  <c r="M66" i="2"/>
  <c r="M73" i="2"/>
  <c r="M80" i="2"/>
  <c r="M84" i="2"/>
  <c r="M88" i="2"/>
  <c r="M89" i="2"/>
  <c r="M90" i="2"/>
  <c r="M100" i="2"/>
  <c r="M104" i="2"/>
  <c r="M105" i="2"/>
  <c r="M112" i="2"/>
  <c r="M113" i="2"/>
  <c r="M123" i="2"/>
  <c r="M124" i="2"/>
  <c r="M128" i="2"/>
  <c r="M129" i="2"/>
  <c r="M130" i="2"/>
  <c r="M140" i="2"/>
  <c r="M144" i="2"/>
  <c r="M148" i="2"/>
  <c r="M152" i="2"/>
  <c r="M153" i="2"/>
  <c r="M163" i="2"/>
  <c r="M164" i="2"/>
  <c r="M168" i="2"/>
  <c r="M169" i="2"/>
  <c r="M176" i="2"/>
  <c r="M180" i="2"/>
  <c r="M187" i="2"/>
  <c r="M188" i="2"/>
  <c r="M192" i="2"/>
  <c r="M193" i="2"/>
  <c r="M203" i="2"/>
  <c r="M204" i="2"/>
  <c r="M208" i="2"/>
  <c r="M212" i="2"/>
  <c r="M216" i="2"/>
  <c r="M226" i="2"/>
  <c r="M227" i="2"/>
  <c r="M228" i="2"/>
  <c r="M232" i="2"/>
  <c r="M233" i="2"/>
  <c r="M243" i="2"/>
  <c r="M244" i="2"/>
  <c r="M251" i="2"/>
  <c r="M252" i="2"/>
  <c r="M256" i="2"/>
  <c r="M266" i="2"/>
  <c r="M267" i="2"/>
  <c r="M268" i="2"/>
  <c r="M272" i="2"/>
  <c r="M276" i="2"/>
  <c r="M283" i="2"/>
  <c r="M287" i="2"/>
  <c r="M288" i="2"/>
  <c r="M289" i="2"/>
  <c r="M290" i="2"/>
  <c r="M297" i="2"/>
  <c r="M298" i="2"/>
  <c r="M299" i="2"/>
  <c r="M303" i="2"/>
  <c r="M304" i="2"/>
  <c r="M311" i="2"/>
  <c r="M312" i="2"/>
  <c r="M313" i="2"/>
  <c r="M314" i="2"/>
  <c r="M315" i="2"/>
  <c r="M322" i="2"/>
  <c r="M323" i="2"/>
  <c r="M327" i="2"/>
  <c r="M328" i="2"/>
  <c r="M329" i="2"/>
  <c r="M336" i="2"/>
  <c r="M337" i="2"/>
  <c r="M338" i="2"/>
  <c r="M339" i="2"/>
  <c r="M343" i="2"/>
  <c r="M347" i="2"/>
  <c r="M351" i="2"/>
  <c r="M352" i="2"/>
  <c r="M353" i="2"/>
  <c r="M354" i="2"/>
  <c r="M361" i="2"/>
  <c r="M362" i="2"/>
  <c r="M363" i="2"/>
  <c r="M367" i="2"/>
  <c r="M368" i="2"/>
  <c r="M375" i="2"/>
  <c r="M376" i="2"/>
  <c r="M377" i="2"/>
  <c r="M378" i="2"/>
  <c r="M379" i="2"/>
  <c r="M386" i="2"/>
  <c r="M387" i="2"/>
  <c r="M391" i="2"/>
  <c r="M392" i="2"/>
  <c r="M393" i="2"/>
  <c r="L3" i="2"/>
  <c r="L4" i="2"/>
  <c r="L5" i="2"/>
  <c r="L6" i="2"/>
  <c r="L10" i="2"/>
  <c r="L11" i="2"/>
  <c r="L12" i="2"/>
  <c r="L13" i="2"/>
  <c r="L14" i="2"/>
  <c r="L18" i="2"/>
  <c r="L19" i="2"/>
  <c r="L20" i="2"/>
  <c r="L21" i="2"/>
  <c r="L22" i="2"/>
  <c r="L26" i="2"/>
  <c r="L27" i="2"/>
  <c r="L28" i="2"/>
  <c r="L29" i="2"/>
  <c r="L30" i="2"/>
  <c r="L34" i="2"/>
  <c r="L35" i="2"/>
  <c r="L36" i="2"/>
  <c r="L37" i="2"/>
  <c r="L38" i="2"/>
  <c r="L42" i="2"/>
  <c r="L43" i="2"/>
  <c r="L44" i="2"/>
  <c r="L45" i="2"/>
  <c r="L46" i="2"/>
  <c r="L50" i="2"/>
  <c r="L51" i="2"/>
  <c r="L52" i="2"/>
  <c r="L53" i="2"/>
  <c r="L54" i="2"/>
  <c r="L58" i="2"/>
  <c r="L59" i="2"/>
  <c r="L60" i="2"/>
  <c r="L61" i="2"/>
  <c r="L62" i="2"/>
  <c r="L66" i="2"/>
  <c r="L67" i="2"/>
  <c r="L68" i="2"/>
  <c r="L69" i="2"/>
  <c r="L70" i="2"/>
  <c r="L74" i="2"/>
  <c r="L75" i="2"/>
  <c r="L76" i="2"/>
  <c r="L77" i="2"/>
  <c r="L78" i="2"/>
  <c r="L82" i="2"/>
  <c r="L83" i="2"/>
  <c r="L84" i="2"/>
  <c r="L85" i="2"/>
  <c r="L86" i="2"/>
  <c r="L90" i="2"/>
  <c r="L91" i="2"/>
  <c r="L92" i="2"/>
  <c r="L93" i="2"/>
  <c r="L94" i="2"/>
  <c r="L98" i="2"/>
  <c r="L99" i="2"/>
  <c r="L100" i="2"/>
  <c r="L101" i="2"/>
  <c r="L102" i="2"/>
  <c r="L106" i="2"/>
  <c r="L107" i="2"/>
  <c r="L108" i="2"/>
  <c r="L109" i="2"/>
  <c r="L110" i="2"/>
  <c r="L114" i="2"/>
  <c r="L115" i="2"/>
  <c r="L116" i="2"/>
  <c r="L117" i="2"/>
  <c r="L118" i="2"/>
  <c r="L122" i="2"/>
  <c r="L123" i="2"/>
  <c r="L124" i="2"/>
  <c r="L125" i="2"/>
  <c r="L126" i="2"/>
  <c r="L130" i="2"/>
  <c r="L131" i="2"/>
  <c r="L132" i="2"/>
  <c r="L133" i="2"/>
  <c r="L134" i="2"/>
  <c r="L138" i="2"/>
  <c r="L139" i="2"/>
  <c r="L140" i="2"/>
  <c r="L141" i="2"/>
  <c r="L142" i="2"/>
  <c r="L146" i="2"/>
  <c r="L147" i="2"/>
  <c r="L148" i="2"/>
  <c r="L149" i="2"/>
  <c r="L150" i="2"/>
  <c r="L154" i="2"/>
  <c r="L155" i="2"/>
  <c r="L156" i="2"/>
  <c r="L157" i="2"/>
  <c r="L158" i="2"/>
  <c r="L162" i="2"/>
  <c r="L163" i="2"/>
  <c r="L164" i="2"/>
  <c r="L165" i="2"/>
  <c r="L166" i="2"/>
  <c r="L170" i="2"/>
  <c r="L171" i="2"/>
  <c r="L172" i="2"/>
  <c r="L173" i="2"/>
  <c r="L174" i="2"/>
  <c r="L178" i="2"/>
  <c r="L179" i="2"/>
  <c r="L180" i="2"/>
  <c r="L181" i="2"/>
  <c r="L182" i="2"/>
  <c r="L186" i="2"/>
  <c r="L187" i="2"/>
  <c r="L188" i="2"/>
  <c r="L189" i="2"/>
  <c r="L190" i="2"/>
  <c r="L194" i="2"/>
  <c r="L195" i="2"/>
  <c r="L196" i="2"/>
  <c r="L197" i="2"/>
  <c r="L198" i="2"/>
  <c r="L202" i="2"/>
  <c r="L203" i="2"/>
  <c r="L204" i="2"/>
  <c r="L205" i="2"/>
  <c r="L206" i="2"/>
  <c r="L210" i="2"/>
  <c r="L211" i="2"/>
  <c r="L212" i="2"/>
  <c r="L213" i="2"/>
  <c r="L214" i="2"/>
  <c r="L218" i="2"/>
  <c r="L219" i="2"/>
  <c r="L220" i="2"/>
  <c r="L221" i="2"/>
  <c r="L222" i="2"/>
  <c r="L226" i="2"/>
  <c r="L227" i="2"/>
  <c r="L228" i="2"/>
  <c r="L229" i="2"/>
  <c r="L230" i="2"/>
  <c r="L234" i="2"/>
  <c r="L235" i="2"/>
  <c r="L236" i="2"/>
  <c r="L237" i="2"/>
  <c r="L238" i="2"/>
  <c r="L242" i="2"/>
  <c r="L243" i="2"/>
  <c r="L244" i="2"/>
  <c r="L245" i="2"/>
  <c r="L246" i="2"/>
  <c r="L250" i="2"/>
  <c r="L251" i="2"/>
  <c r="L252" i="2"/>
  <c r="L253" i="2"/>
  <c r="L254" i="2"/>
  <c r="L258" i="2"/>
  <c r="L259" i="2"/>
  <c r="L260" i="2"/>
  <c r="L261" i="2"/>
  <c r="L262" i="2"/>
  <c r="L266" i="2"/>
  <c r="L267" i="2"/>
  <c r="L268" i="2"/>
  <c r="L269" i="2"/>
  <c r="L270" i="2"/>
  <c r="L274" i="2"/>
  <c r="L275" i="2"/>
  <c r="L276" i="2"/>
  <c r="L277" i="2"/>
  <c r="L278" i="2"/>
  <c r="L282" i="2"/>
  <c r="L283" i="2"/>
  <c r="L284" i="2"/>
  <c r="L285" i="2"/>
  <c r="L286" i="2"/>
  <c r="L290" i="2"/>
  <c r="L291" i="2"/>
  <c r="L292" i="2"/>
  <c r="L293" i="2"/>
  <c r="L294" i="2"/>
  <c r="L298" i="2"/>
  <c r="L299" i="2"/>
  <c r="L300" i="2"/>
  <c r="L301" i="2"/>
  <c r="L302" i="2"/>
  <c r="L306" i="2"/>
  <c r="L307" i="2"/>
  <c r="L308" i="2"/>
  <c r="L309" i="2"/>
  <c r="L310" i="2"/>
  <c r="L314" i="2"/>
  <c r="L315" i="2"/>
  <c r="L316" i="2"/>
  <c r="L317" i="2"/>
  <c r="L318" i="2"/>
  <c r="L322" i="2"/>
  <c r="L323" i="2"/>
  <c r="L324" i="2"/>
  <c r="L325" i="2"/>
  <c r="L326" i="2"/>
  <c r="L330" i="2"/>
  <c r="L331" i="2"/>
  <c r="L332" i="2"/>
  <c r="L333" i="2"/>
  <c r="L334" i="2"/>
  <c r="L338" i="2"/>
  <c r="L339" i="2"/>
  <c r="L340" i="2"/>
  <c r="L341" i="2"/>
  <c r="L342" i="2"/>
  <c r="L346" i="2"/>
  <c r="L347" i="2"/>
  <c r="L348" i="2"/>
  <c r="L349" i="2"/>
  <c r="L350" i="2"/>
  <c r="L354" i="2"/>
  <c r="L355" i="2"/>
  <c r="L356" i="2"/>
  <c r="L357" i="2"/>
  <c r="L358" i="2"/>
  <c r="L362" i="2"/>
  <c r="L363" i="2"/>
  <c r="L364" i="2"/>
  <c r="L365" i="2"/>
  <c r="L366" i="2"/>
  <c r="L370" i="2"/>
  <c r="L371" i="2"/>
  <c r="L372" i="2"/>
  <c r="L373" i="2"/>
  <c r="L374" i="2"/>
  <c r="L378" i="2"/>
  <c r="L379" i="2"/>
  <c r="L380" i="2"/>
  <c r="L381" i="2"/>
  <c r="L382" i="2"/>
  <c r="L386" i="2"/>
  <c r="L387" i="2"/>
  <c r="L388" i="2"/>
  <c r="L389" i="2"/>
  <c r="L390" i="2"/>
  <c r="L394" i="2"/>
  <c r="L395" i="2"/>
  <c r="L396" i="2"/>
  <c r="L397" i="2"/>
  <c r="L398" i="2"/>
  <c r="K41" i="2"/>
  <c r="K44" i="2"/>
  <c r="K87" i="2"/>
  <c r="K109" i="2"/>
  <c r="K125" i="2"/>
  <c r="K159" i="2"/>
  <c r="K207" i="2"/>
  <c r="K216" i="2"/>
  <c r="K217" i="2"/>
  <c r="K251" i="2"/>
  <c r="K252" i="2"/>
  <c r="K268" i="2"/>
  <c r="K308" i="2"/>
  <c r="K341" i="2"/>
  <c r="K353" i="2"/>
  <c r="K363" i="2"/>
  <c r="K396" i="2"/>
  <c r="K397" i="2"/>
  <c r="Q3" i="2"/>
  <c r="R3" i="2"/>
  <c r="S3" i="2"/>
  <c r="T3" i="2"/>
  <c r="U3" i="2"/>
  <c r="V3" i="2"/>
  <c r="V2" i="2"/>
  <c r="U2" i="2"/>
  <c r="Q2" i="2"/>
  <c r="K20" i="2" s="1"/>
  <c r="R2" i="2"/>
  <c r="L2" i="2" s="1"/>
  <c r="S2" i="2"/>
  <c r="M12" i="2" s="1"/>
  <c r="T2" i="2"/>
  <c r="N13" i="2" s="1"/>
  <c r="P3" i="2"/>
  <c r="P2" i="2"/>
  <c r="J341" i="2" s="1"/>
  <c r="M399" i="2" l="1"/>
  <c r="M385" i="2"/>
  <c r="M371" i="2"/>
  <c r="M360" i="2"/>
  <c r="M346" i="2"/>
  <c r="M335" i="2"/>
  <c r="M321" i="2"/>
  <c r="M307" i="2"/>
  <c r="M296" i="2"/>
  <c r="M282" i="2"/>
  <c r="M265" i="2"/>
  <c r="M242" i="2"/>
  <c r="M219" i="2"/>
  <c r="M202" i="2"/>
  <c r="M179" i="2"/>
  <c r="M162" i="2"/>
  <c r="M139" i="2"/>
  <c r="M116" i="2"/>
  <c r="M99" i="2"/>
  <c r="M76" i="2"/>
  <c r="M59" i="2"/>
  <c r="M36" i="2"/>
  <c r="M16" i="2"/>
  <c r="N393" i="2"/>
  <c r="N373" i="2"/>
  <c r="N353" i="2"/>
  <c r="N333" i="2"/>
  <c r="N310" i="2"/>
  <c r="N293" i="2"/>
  <c r="N270" i="2"/>
  <c r="N245" i="2"/>
  <c r="N217" i="2"/>
  <c r="N192" i="2"/>
  <c r="N167" i="2"/>
  <c r="N142" i="2"/>
  <c r="N117" i="2"/>
  <c r="N89" i="2"/>
  <c r="N64" i="2"/>
  <c r="N39" i="2"/>
  <c r="N14" i="2"/>
  <c r="M395" i="2"/>
  <c r="M384" i="2"/>
  <c r="M370" i="2"/>
  <c r="M359" i="2"/>
  <c r="M345" i="2"/>
  <c r="M331" i="2"/>
  <c r="M320" i="2"/>
  <c r="M306" i="2"/>
  <c r="M295" i="2"/>
  <c r="M281" i="2"/>
  <c r="M258" i="2"/>
  <c r="M241" i="2"/>
  <c r="M218" i="2"/>
  <c r="M201" i="2"/>
  <c r="M178" i="2"/>
  <c r="M155" i="2"/>
  <c r="M138" i="2"/>
  <c r="M115" i="2"/>
  <c r="M98" i="2"/>
  <c r="M75" i="2"/>
  <c r="M52" i="2"/>
  <c r="M35" i="2"/>
  <c r="N392" i="2"/>
  <c r="N369" i="2"/>
  <c r="N349" i="2"/>
  <c r="N329" i="2"/>
  <c r="N309" i="2"/>
  <c r="N289" i="2"/>
  <c r="N269" i="2"/>
  <c r="N241" i="2"/>
  <c r="N216" i="2"/>
  <c r="N191" i="2"/>
  <c r="N166" i="2"/>
  <c r="N141" i="2"/>
  <c r="N113" i="2"/>
  <c r="N88" i="2"/>
  <c r="N63" i="2"/>
  <c r="N38" i="2"/>
  <c r="N2" i="2"/>
  <c r="N10" i="2"/>
  <c r="N18" i="2"/>
  <c r="N26" i="2"/>
  <c r="N34" i="2"/>
  <c r="N42" i="2"/>
  <c r="N50" i="2"/>
  <c r="N58" i="2"/>
  <c r="N66" i="2"/>
  <c r="N74" i="2"/>
  <c r="N82" i="2"/>
  <c r="N90" i="2"/>
  <c r="N98" i="2"/>
  <c r="N106" i="2"/>
  <c r="N114" i="2"/>
  <c r="N122" i="2"/>
  <c r="N130" i="2"/>
  <c r="N138" i="2"/>
  <c r="N146" i="2"/>
  <c r="N154" i="2"/>
  <c r="N162" i="2"/>
  <c r="N170" i="2"/>
  <c r="N178" i="2"/>
  <c r="N186" i="2"/>
  <c r="N194" i="2"/>
  <c r="N202" i="2"/>
  <c r="N210" i="2"/>
  <c r="N218" i="2"/>
  <c r="N226" i="2"/>
  <c r="N234" i="2"/>
  <c r="N242" i="2"/>
  <c r="N250" i="2"/>
  <c r="N258" i="2"/>
  <c r="N266" i="2"/>
  <c r="N274" i="2"/>
  <c r="N282" i="2"/>
  <c r="N290" i="2"/>
  <c r="N298" i="2"/>
  <c r="N306" i="2"/>
  <c r="N314" i="2"/>
  <c r="N322" i="2"/>
  <c r="N330" i="2"/>
  <c r="N338" i="2"/>
  <c r="N346" i="2"/>
  <c r="N354" i="2"/>
  <c r="N362" i="2"/>
  <c r="N370" i="2"/>
  <c r="N378" i="2"/>
  <c r="N386" i="2"/>
  <c r="N394" i="2"/>
  <c r="N3" i="2"/>
  <c r="N11" i="2"/>
  <c r="N19" i="2"/>
  <c r="N27" i="2"/>
  <c r="N35" i="2"/>
  <c r="N43" i="2"/>
  <c r="N51" i="2"/>
  <c r="N59" i="2"/>
  <c r="N67" i="2"/>
  <c r="N75" i="2"/>
  <c r="N83" i="2"/>
  <c r="N91" i="2"/>
  <c r="N99" i="2"/>
  <c r="N107" i="2"/>
  <c r="N115" i="2"/>
  <c r="N123" i="2"/>
  <c r="N131" i="2"/>
  <c r="N139" i="2"/>
  <c r="N147" i="2"/>
  <c r="N155" i="2"/>
  <c r="N163" i="2"/>
  <c r="N171" i="2"/>
  <c r="N179" i="2"/>
  <c r="N187" i="2"/>
  <c r="N195" i="2"/>
  <c r="N203" i="2"/>
  <c r="N211" i="2"/>
  <c r="N219" i="2"/>
  <c r="N227" i="2"/>
  <c r="N235" i="2"/>
  <c r="N243" i="2"/>
  <c r="N251" i="2"/>
  <c r="N259" i="2"/>
  <c r="N267" i="2"/>
  <c r="N275" i="2"/>
  <c r="N283" i="2"/>
  <c r="N291" i="2"/>
  <c r="N299" i="2"/>
  <c r="N307" i="2"/>
  <c r="N315" i="2"/>
  <c r="N323" i="2"/>
  <c r="N331" i="2"/>
  <c r="N339" i="2"/>
  <c r="N347" i="2"/>
  <c r="N355" i="2"/>
  <c r="N363" i="2"/>
  <c r="N371" i="2"/>
  <c r="N379" i="2"/>
  <c r="N387" i="2"/>
  <c r="N395" i="2"/>
  <c r="N4" i="2"/>
  <c r="N12" i="2"/>
  <c r="N20" i="2"/>
  <c r="N28" i="2"/>
  <c r="N36" i="2"/>
  <c r="N44" i="2"/>
  <c r="N52" i="2"/>
  <c r="N60" i="2"/>
  <c r="N68" i="2"/>
  <c r="N76" i="2"/>
  <c r="N84" i="2"/>
  <c r="N92" i="2"/>
  <c r="N100" i="2"/>
  <c r="N108" i="2"/>
  <c r="N116" i="2"/>
  <c r="N124" i="2"/>
  <c r="N132" i="2"/>
  <c r="N140" i="2"/>
  <c r="N148" i="2"/>
  <c r="N156" i="2"/>
  <c r="N164" i="2"/>
  <c r="N172" i="2"/>
  <c r="N180" i="2"/>
  <c r="N188" i="2"/>
  <c r="N196" i="2"/>
  <c r="N204" i="2"/>
  <c r="N212" i="2"/>
  <c r="N220" i="2"/>
  <c r="N228" i="2"/>
  <c r="N236" i="2"/>
  <c r="N244" i="2"/>
  <c r="N252" i="2"/>
  <c r="N260" i="2"/>
  <c r="N268" i="2"/>
  <c r="N276" i="2"/>
  <c r="N284" i="2"/>
  <c r="N292" i="2"/>
  <c r="N300" i="2"/>
  <c r="N308" i="2"/>
  <c r="N316" i="2"/>
  <c r="N324" i="2"/>
  <c r="N332" i="2"/>
  <c r="N340" i="2"/>
  <c r="N348" i="2"/>
  <c r="N356" i="2"/>
  <c r="N364" i="2"/>
  <c r="N372" i="2"/>
  <c r="N380" i="2"/>
  <c r="N388" i="2"/>
  <c r="N396" i="2"/>
  <c r="N5" i="2"/>
  <c r="N16" i="2"/>
  <c r="N30" i="2"/>
  <c r="N41" i="2"/>
  <c r="N55" i="2"/>
  <c r="N69" i="2"/>
  <c r="N80" i="2"/>
  <c r="N94" i="2"/>
  <c r="N105" i="2"/>
  <c r="N119" i="2"/>
  <c r="N133" i="2"/>
  <c r="N144" i="2"/>
  <c r="N158" i="2"/>
  <c r="N169" i="2"/>
  <c r="N183" i="2"/>
  <c r="N197" i="2"/>
  <c r="N208" i="2"/>
  <c r="N222" i="2"/>
  <c r="N233" i="2"/>
  <c r="N247" i="2"/>
  <c r="N261" i="2"/>
  <c r="N272" i="2"/>
  <c r="N286" i="2"/>
  <c r="N297" i="2"/>
  <c r="N311" i="2"/>
  <c r="N325" i="2"/>
  <c r="N336" i="2"/>
  <c r="N350" i="2"/>
  <c r="N361" i="2"/>
  <c r="N375" i="2"/>
  <c r="N389" i="2"/>
  <c r="N174" i="2"/>
  <c r="N8" i="2"/>
  <c r="N22" i="2"/>
  <c r="N47" i="2"/>
  <c r="N61" i="2"/>
  <c r="N72" i="2"/>
  <c r="N86" i="2"/>
  <c r="N97" i="2"/>
  <c r="N111" i="2"/>
  <c r="N125" i="2"/>
  <c r="N136" i="2"/>
  <c r="N150" i="2"/>
  <c r="N161" i="2"/>
  <c r="N175" i="2"/>
  <c r="N189" i="2"/>
  <c r="N200" i="2"/>
  <c r="N214" i="2"/>
  <c r="N225" i="2"/>
  <c r="N239" i="2"/>
  <c r="N253" i="2"/>
  <c r="N264" i="2"/>
  <c r="N6" i="2"/>
  <c r="N17" i="2"/>
  <c r="N31" i="2"/>
  <c r="N45" i="2"/>
  <c r="N56" i="2"/>
  <c r="N70" i="2"/>
  <c r="N81" i="2"/>
  <c r="N95" i="2"/>
  <c r="N109" i="2"/>
  <c r="N120" i="2"/>
  <c r="N134" i="2"/>
  <c r="N145" i="2"/>
  <c r="N159" i="2"/>
  <c r="N173" i="2"/>
  <c r="N184" i="2"/>
  <c r="N198" i="2"/>
  <c r="N209" i="2"/>
  <c r="N223" i="2"/>
  <c r="N237" i="2"/>
  <c r="N248" i="2"/>
  <c r="N262" i="2"/>
  <c r="N273" i="2"/>
  <c r="N287" i="2"/>
  <c r="N301" i="2"/>
  <c r="N312" i="2"/>
  <c r="N326" i="2"/>
  <c r="N337" i="2"/>
  <c r="N351" i="2"/>
  <c r="N365" i="2"/>
  <c r="N376" i="2"/>
  <c r="N390" i="2"/>
  <c r="N7" i="2"/>
  <c r="N21" i="2"/>
  <c r="N32" i="2"/>
  <c r="N46" i="2"/>
  <c r="N57" i="2"/>
  <c r="N71" i="2"/>
  <c r="N85" i="2"/>
  <c r="N96" i="2"/>
  <c r="N110" i="2"/>
  <c r="N121" i="2"/>
  <c r="N135" i="2"/>
  <c r="N149" i="2"/>
  <c r="N160" i="2"/>
  <c r="N185" i="2"/>
  <c r="N199" i="2"/>
  <c r="N213" i="2"/>
  <c r="N224" i="2"/>
  <c r="N238" i="2"/>
  <c r="N249" i="2"/>
  <c r="N263" i="2"/>
  <c r="N277" i="2"/>
  <c r="N288" i="2"/>
  <c r="N302" i="2"/>
  <c r="N313" i="2"/>
  <c r="N327" i="2"/>
  <c r="N341" i="2"/>
  <c r="N352" i="2"/>
  <c r="N366" i="2"/>
  <c r="N377" i="2"/>
  <c r="N391" i="2"/>
  <c r="N33" i="2"/>
  <c r="M2" i="2"/>
  <c r="M5" i="2"/>
  <c r="M13" i="2"/>
  <c r="M21" i="2"/>
  <c r="M29" i="2"/>
  <c r="M37" i="2"/>
  <c r="M45" i="2"/>
  <c r="M53" i="2"/>
  <c r="M61" i="2"/>
  <c r="M69" i="2"/>
  <c r="M77" i="2"/>
  <c r="M85" i="2"/>
  <c r="M93" i="2"/>
  <c r="M101" i="2"/>
  <c r="M109" i="2"/>
  <c r="M117" i="2"/>
  <c r="M125" i="2"/>
  <c r="M133" i="2"/>
  <c r="M141" i="2"/>
  <c r="M149" i="2"/>
  <c r="M157" i="2"/>
  <c r="M165" i="2"/>
  <c r="M173" i="2"/>
  <c r="M181" i="2"/>
  <c r="M189" i="2"/>
  <c r="M197" i="2"/>
  <c r="M205" i="2"/>
  <c r="M213" i="2"/>
  <c r="M221" i="2"/>
  <c r="M229" i="2"/>
  <c r="M237" i="2"/>
  <c r="M245" i="2"/>
  <c r="M253" i="2"/>
  <c r="M261" i="2"/>
  <c r="M269" i="2"/>
  <c r="M277" i="2"/>
  <c r="M6" i="2"/>
  <c r="M14" i="2"/>
  <c r="M22" i="2"/>
  <c r="M30" i="2"/>
  <c r="M38" i="2"/>
  <c r="M46" i="2"/>
  <c r="M54" i="2"/>
  <c r="M62" i="2"/>
  <c r="M70" i="2"/>
  <c r="M78" i="2"/>
  <c r="M86" i="2"/>
  <c r="M94" i="2"/>
  <c r="M102" i="2"/>
  <c r="M110" i="2"/>
  <c r="M118" i="2"/>
  <c r="M126" i="2"/>
  <c r="M134" i="2"/>
  <c r="M142" i="2"/>
  <c r="M150" i="2"/>
  <c r="M158" i="2"/>
  <c r="M166" i="2"/>
  <c r="M174" i="2"/>
  <c r="M182" i="2"/>
  <c r="M190" i="2"/>
  <c r="M198" i="2"/>
  <c r="M206" i="2"/>
  <c r="M214" i="2"/>
  <c r="M222" i="2"/>
  <c r="M230" i="2"/>
  <c r="M238" i="2"/>
  <c r="M246" i="2"/>
  <c r="M254" i="2"/>
  <c r="M262" i="2"/>
  <c r="M270" i="2"/>
  <c r="M278" i="2"/>
  <c r="M7" i="2"/>
  <c r="M15" i="2"/>
  <c r="M23" i="2"/>
  <c r="M31" i="2"/>
  <c r="M39" i="2"/>
  <c r="M47" i="2"/>
  <c r="M55" i="2"/>
  <c r="M63" i="2"/>
  <c r="M71" i="2"/>
  <c r="M79" i="2"/>
  <c r="M87" i="2"/>
  <c r="M95" i="2"/>
  <c r="M103" i="2"/>
  <c r="M111" i="2"/>
  <c r="M119" i="2"/>
  <c r="M127" i="2"/>
  <c r="M135" i="2"/>
  <c r="M143" i="2"/>
  <c r="M151" i="2"/>
  <c r="M159" i="2"/>
  <c r="M167" i="2"/>
  <c r="M175" i="2"/>
  <c r="M183" i="2"/>
  <c r="M191" i="2"/>
  <c r="M199" i="2"/>
  <c r="M207" i="2"/>
  <c r="M215" i="2"/>
  <c r="M223" i="2"/>
  <c r="M231" i="2"/>
  <c r="M239" i="2"/>
  <c r="M247" i="2"/>
  <c r="M255" i="2"/>
  <c r="M263" i="2"/>
  <c r="M271" i="2"/>
  <c r="M279" i="2"/>
  <c r="M3" i="2"/>
  <c r="M17" i="2"/>
  <c r="M28" i="2"/>
  <c r="M42" i="2"/>
  <c r="M56" i="2"/>
  <c r="M67" i="2"/>
  <c r="M81" i="2"/>
  <c r="M92" i="2"/>
  <c r="M106" i="2"/>
  <c r="M120" i="2"/>
  <c r="M131" i="2"/>
  <c r="M145" i="2"/>
  <c r="M156" i="2"/>
  <c r="M170" i="2"/>
  <c r="M184" i="2"/>
  <c r="M195" i="2"/>
  <c r="M209" i="2"/>
  <c r="M220" i="2"/>
  <c r="M234" i="2"/>
  <c r="M248" i="2"/>
  <c r="M259" i="2"/>
  <c r="M273" i="2"/>
  <c r="M284" i="2"/>
  <c r="M292" i="2"/>
  <c r="M300" i="2"/>
  <c r="M308" i="2"/>
  <c r="M316" i="2"/>
  <c r="M324" i="2"/>
  <c r="M332" i="2"/>
  <c r="M340" i="2"/>
  <c r="M348" i="2"/>
  <c r="M356" i="2"/>
  <c r="M364" i="2"/>
  <c r="M372" i="2"/>
  <c r="M380" i="2"/>
  <c r="M388" i="2"/>
  <c r="M396" i="2"/>
  <c r="M44" i="2"/>
  <c r="M108" i="2"/>
  <c r="M147" i="2"/>
  <c r="M186" i="2"/>
  <c r="M211" i="2"/>
  <c r="M236" i="2"/>
  <c r="M264" i="2"/>
  <c r="M286" i="2"/>
  <c r="M302" i="2"/>
  <c r="M326" i="2"/>
  <c r="M342" i="2"/>
  <c r="M366" i="2"/>
  <c r="M390" i="2"/>
  <c r="M4" i="2"/>
  <c r="M18" i="2"/>
  <c r="M32" i="2"/>
  <c r="M43" i="2"/>
  <c r="M57" i="2"/>
  <c r="M68" i="2"/>
  <c r="M82" i="2"/>
  <c r="M96" i="2"/>
  <c r="M107" i="2"/>
  <c r="M121" i="2"/>
  <c r="M132" i="2"/>
  <c r="M146" i="2"/>
  <c r="M160" i="2"/>
  <c r="M171" i="2"/>
  <c r="M185" i="2"/>
  <c r="M196" i="2"/>
  <c r="M210" i="2"/>
  <c r="M224" i="2"/>
  <c r="M235" i="2"/>
  <c r="M249" i="2"/>
  <c r="M260" i="2"/>
  <c r="M274" i="2"/>
  <c r="M285" i="2"/>
  <c r="M293" i="2"/>
  <c r="M301" i="2"/>
  <c r="M309" i="2"/>
  <c r="M317" i="2"/>
  <c r="M325" i="2"/>
  <c r="M333" i="2"/>
  <c r="M341" i="2"/>
  <c r="M349" i="2"/>
  <c r="M357" i="2"/>
  <c r="M365" i="2"/>
  <c r="M373" i="2"/>
  <c r="M381" i="2"/>
  <c r="M389" i="2"/>
  <c r="M397" i="2"/>
  <c r="M83" i="2"/>
  <c r="M318" i="2"/>
  <c r="M350" i="2"/>
  <c r="M374" i="2"/>
  <c r="M398" i="2"/>
  <c r="M8" i="2"/>
  <c r="M19" i="2"/>
  <c r="M33" i="2"/>
  <c r="M58" i="2"/>
  <c r="M72" i="2"/>
  <c r="M97" i="2"/>
  <c r="M122" i="2"/>
  <c r="M136" i="2"/>
  <c r="M161" i="2"/>
  <c r="M172" i="2"/>
  <c r="M200" i="2"/>
  <c r="M225" i="2"/>
  <c r="M250" i="2"/>
  <c r="M275" i="2"/>
  <c r="M294" i="2"/>
  <c r="M310" i="2"/>
  <c r="M334" i="2"/>
  <c r="M358" i="2"/>
  <c r="M382" i="2"/>
  <c r="M394" i="2"/>
  <c r="M383" i="2"/>
  <c r="M369" i="2"/>
  <c r="M355" i="2"/>
  <c r="M344" i="2"/>
  <c r="M330" i="2"/>
  <c r="M319" i="2"/>
  <c r="M305" i="2"/>
  <c r="M291" i="2"/>
  <c r="M280" i="2"/>
  <c r="M257" i="2"/>
  <c r="M240" i="2"/>
  <c r="M217" i="2"/>
  <c r="M194" i="2"/>
  <c r="M177" i="2"/>
  <c r="M154" i="2"/>
  <c r="M137" i="2"/>
  <c r="M114" i="2"/>
  <c r="M91" i="2"/>
  <c r="M74" i="2"/>
  <c r="M51" i="2"/>
  <c r="M34" i="2"/>
  <c r="M11" i="2"/>
  <c r="N385" i="2"/>
  <c r="N368" i="2"/>
  <c r="N345" i="2"/>
  <c r="N328" i="2"/>
  <c r="N305" i="2"/>
  <c r="N285" i="2"/>
  <c r="N265" i="2"/>
  <c r="N240" i="2"/>
  <c r="N215" i="2"/>
  <c r="N190" i="2"/>
  <c r="N165" i="2"/>
  <c r="N137" i="2"/>
  <c r="N112" i="2"/>
  <c r="N87" i="2"/>
  <c r="N62" i="2"/>
  <c r="N37" i="2"/>
  <c r="N9" i="2"/>
  <c r="L377" i="2"/>
  <c r="L353" i="2"/>
  <c r="L321" i="2"/>
  <c r="L313" i="2"/>
  <c r="L289" i="2"/>
  <c r="L265" i="2"/>
  <c r="L233" i="2"/>
  <c r="L209" i="2"/>
  <c r="L185" i="2"/>
  <c r="L161" i="2"/>
  <c r="L137" i="2"/>
  <c r="L121" i="2"/>
  <c r="L97" i="2"/>
  <c r="L73" i="2"/>
  <c r="L57" i="2"/>
  <c r="L33" i="2"/>
  <c r="L9" i="2"/>
  <c r="L393" i="2"/>
  <c r="L369" i="2"/>
  <c r="L345" i="2"/>
  <c r="L329" i="2"/>
  <c r="L305" i="2"/>
  <c r="L281" i="2"/>
  <c r="L257" i="2"/>
  <c r="L241" i="2"/>
  <c r="L217" i="2"/>
  <c r="L193" i="2"/>
  <c r="L177" i="2"/>
  <c r="L153" i="2"/>
  <c r="L129" i="2"/>
  <c r="L113" i="2"/>
  <c r="L89" i="2"/>
  <c r="L65" i="2"/>
  <c r="L41" i="2"/>
  <c r="L25" i="2"/>
  <c r="K307" i="2"/>
  <c r="K161" i="2"/>
  <c r="K40" i="2"/>
  <c r="L392" i="2"/>
  <c r="L384" i="2"/>
  <c r="L376" i="2"/>
  <c r="L368" i="2"/>
  <c r="L360" i="2"/>
  <c r="L352" i="2"/>
  <c r="L344" i="2"/>
  <c r="L336" i="2"/>
  <c r="L328" i="2"/>
  <c r="L320" i="2"/>
  <c r="L312" i="2"/>
  <c r="L304" i="2"/>
  <c r="L296" i="2"/>
  <c r="L288" i="2"/>
  <c r="L280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6" i="2"/>
  <c r="L8" i="2"/>
  <c r="L385" i="2"/>
  <c r="L361" i="2"/>
  <c r="L337" i="2"/>
  <c r="L297" i="2"/>
  <c r="L273" i="2"/>
  <c r="L249" i="2"/>
  <c r="L225" i="2"/>
  <c r="L201" i="2"/>
  <c r="L169" i="2"/>
  <c r="L145" i="2"/>
  <c r="L105" i="2"/>
  <c r="L81" i="2"/>
  <c r="L49" i="2"/>
  <c r="L17" i="2"/>
  <c r="O2" i="2"/>
  <c r="K398" i="2"/>
  <c r="K305" i="2"/>
  <c r="K160" i="2"/>
  <c r="L399" i="2"/>
  <c r="L391" i="2"/>
  <c r="L383" i="2"/>
  <c r="L375" i="2"/>
  <c r="L367" i="2"/>
  <c r="L359" i="2"/>
  <c r="L351" i="2"/>
  <c r="L343" i="2"/>
  <c r="L335" i="2"/>
  <c r="L327" i="2"/>
  <c r="L319" i="2"/>
  <c r="L311" i="2"/>
  <c r="L303" i="2"/>
  <c r="L295" i="2"/>
  <c r="L287" i="2"/>
  <c r="L279" i="2"/>
  <c r="L271" i="2"/>
  <c r="L263" i="2"/>
  <c r="L255" i="2"/>
  <c r="L247" i="2"/>
  <c r="L239" i="2"/>
  <c r="L231" i="2"/>
  <c r="L223" i="2"/>
  <c r="L215" i="2"/>
  <c r="L207" i="2"/>
  <c r="L199" i="2"/>
  <c r="L191" i="2"/>
  <c r="L183" i="2"/>
  <c r="L175" i="2"/>
  <c r="L167" i="2"/>
  <c r="L159" i="2"/>
  <c r="L151" i="2"/>
  <c r="L143" i="2"/>
  <c r="L135" i="2"/>
  <c r="L127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7" i="2"/>
  <c r="K391" i="2"/>
  <c r="K336" i="2"/>
  <c r="K296" i="2"/>
  <c r="K249" i="2"/>
  <c r="K195" i="2"/>
  <c r="K158" i="2"/>
  <c r="K86" i="2"/>
  <c r="K23" i="2"/>
  <c r="J382" i="2"/>
  <c r="K382" i="2"/>
  <c r="K335" i="2"/>
  <c r="K280" i="2"/>
  <c r="K245" i="2"/>
  <c r="K190" i="2"/>
  <c r="K148" i="2"/>
  <c r="K85" i="2"/>
  <c r="J255" i="2"/>
  <c r="K369" i="2"/>
  <c r="K334" i="2"/>
  <c r="K279" i="2"/>
  <c r="K236" i="2"/>
  <c r="K189" i="2"/>
  <c r="K128" i="2"/>
  <c r="K84" i="2"/>
  <c r="J189" i="2"/>
  <c r="K368" i="2"/>
  <c r="K325" i="2"/>
  <c r="K278" i="2"/>
  <c r="K223" i="2"/>
  <c r="K188" i="2"/>
  <c r="K127" i="2"/>
  <c r="K65" i="2"/>
  <c r="J125" i="2"/>
  <c r="K364" i="2"/>
  <c r="K309" i="2"/>
  <c r="K277" i="2"/>
  <c r="K222" i="2"/>
  <c r="K179" i="2"/>
  <c r="K126" i="2"/>
  <c r="K45" i="2"/>
  <c r="J76" i="2"/>
  <c r="J381" i="2"/>
  <c r="J342" i="2"/>
  <c r="J13" i="2"/>
  <c r="J77" i="2"/>
  <c r="J141" i="2"/>
  <c r="J199" i="2"/>
  <c r="J256" i="2"/>
  <c r="J294" i="2"/>
  <c r="J347" i="2"/>
  <c r="J395" i="2"/>
  <c r="J36" i="2"/>
  <c r="J78" i="2"/>
  <c r="J142" i="2"/>
  <c r="J200" i="2"/>
  <c r="J262" i="2"/>
  <c r="J312" i="2"/>
  <c r="J352" i="2"/>
  <c r="J399" i="2"/>
  <c r="J37" i="2"/>
  <c r="J86" i="2"/>
  <c r="J156" i="2"/>
  <c r="J220" i="2"/>
  <c r="J263" i="2"/>
  <c r="J316" i="2"/>
  <c r="J357" i="2"/>
  <c r="J38" i="2"/>
  <c r="J102" i="2"/>
  <c r="J160" i="2"/>
  <c r="J224" i="2"/>
  <c r="J264" i="2"/>
  <c r="J325" i="2"/>
  <c r="J368" i="2"/>
  <c r="J39" i="2"/>
  <c r="J103" i="2"/>
  <c r="J164" i="2"/>
  <c r="J228" i="2"/>
  <c r="J280" i="2"/>
  <c r="J326" i="2"/>
  <c r="J371" i="2"/>
  <c r="J46" i="2"/>
  <c r="J116" i="2"/>
  <c r="J180" i="2"/>
  <c r="J229" i="2"/>
  <c r="J288" i="2"/>
  <c r="J328" i="2"/>
  <c r="J373" i="2"/>
  <c r="J63" i="2"/>
  <c r="J124" i="2"/>
  <c r="J188" i="2"/>
  <c r="J239" i="2"/>
  <c r="J292" i="2"/>
  <c r="J293" i="2"/>
  <c r="K381" i="2"/>
  <c r="K352" i="2"/>
  <c r="K324" i="2"/>
  <c r="K295" i="2"/>
  <c r="K263" i="2"/>
  <c r="K235" i="2"/>
  <c r="K206" i="2"/>
  <c r="K177" i="2"/>
  <c r="K145" i="2"/>
  <c r="K108" i="2"/>
  <c r="K64" i="2"/>
  <c r="K22" i="2"/>
  <c r="K380" i="2"/>
  <c r="K351" i="2"/>
  <c r="K323" i="2"/>
  <c r="K291" i="2"/>
  <c r="K262" i="2"/>
  <c r="K233" i="2"/>
  <c r="K205" i="2"/>
  <c r="K176" i="2"/>
  <c r="K141" i="2"/>
  <c r="K105" i="2"/>
  <c r="K63" i="2"/>
  <c r="K21" i="2"/>
  <c r="K379" i="2"/>
  <c r="K350" i="2"/>
  <c r="K318" i="2"/>
  <c r="K289" i="2"/>
  <c r="K261" i="2"/>
  <c r="K232" i="2"/>
  <c r="K204" i="2"/>
  <c r="K172" i="2"/>
  <c r="K140" i="2"/>
  <c r="K104" i="2"/>
  <c r="K62" i="2"/>
  <c r="K10" i="2"/>
  <c r="K18" i="2"/>
  <c r="K26" i="2"/>
  <c r="K34" i="2"/>
  <c r="K42" i="2"/>
  <c r="K50" i="2"/>
  <c r="K58" i="2"/>
  <c r="K66" i="2"/>
  <c r="K74" i="2"/>
  <c r="K82" i="2"/>
  <c r="K90" i="2"/>
  <c r="K98" i="2"/>
  <c r="K106" i="2"/>
  <c r="K114" i="2"/>
  <c r="K122" i="2"/>
  <c r="K130" i="2"/>
  <c r="K138" i="2"/>
  <c r="K146" i="2"/>
  <c r="K154" i="2"/>
  <c r="K162" i="2"/>
  <c r="K170" i="2"/>
  <c r="K178" i="2"/>
  <c r="K186" i="2"/>
  <c r="K194" i="2"/>
  <c r="K202" i="2"/>
  <c r="K210" i="2"/>
  <c r="K218" i="2"/>
  <c r="K226" i="2"/>
  <c r="K234" i="2"/>
  <c r="K242" i="2"/>
  <c r="K250" i="2"/>
  <c r="K258" i="2"/>
  <c r="K266" i="2"/>
  <c r="K274" i="2"/>
  <c r="K282" i="2"/>
  <c r="K290" i="2"/>
  <c r="K298" i="2"/>
  <c r="K306" i="2"/>
  <c r="K314" i="2"/>
  <c r="K322" i="2"/>
  <c r="K330" i="2"/>
  <c r="K338" i="2"/>
  <c r="K346" i="2"/>
  <c r="K354" i="2"/>
  <c r="K362" i="2"/>
  <c r="K370" i="2"/>
  <c r="K378" i="2"/>
  <c r="K386" i="2"/>
  <c r="K394" i="2"/>
  <c r="K3" i="2"/>
  <c r="K11" i="2"/>
  <c r="K19" i="2"/>
  <c r="K27" i="2"/>
  <c r="K35" i="2"/>
  <c r="K43" i="2"/>
  <c r="K51" i="2"/>
  <c r="K59" i="2"/>
  <c r="K67" i="2"/>
  <c r="K75" i="2"/>
  <c r="K83" i="2"/>
  <c r="K91" i="2"/>
  <c r="K99" i="2"/>
  <c r="K107" i="2"/>
  <c r="K115" i="2"/>
  <c r="K123" i="2"/>
  <c r="K131" i="2"/>
  <c r="K139" i="2"/>
  <c r="K147" i="2"/>
  <c r="K155" i="2"/>
  <c r="K163" i="2"/>
  <c r="K4" i="2"/>
  <c r="K14" i="2"/>
  <c r="K24" i="2"/>
  <c r="K36" i="2"/>
  <c r="K46" i="2"/>
  <c r="K56" i="2"/>
  <c r="K68" i="2"/>
  <c r="K78" i="2"/>
  <c r="K88" i="2"/>
  <c r="K100" i="2"/>
  <c r="K110" i="2"/>
  <c r="K120" i="2"/>
  <c r="K132" i="2"/>
  <c r="K142" i="2"/>
  <c r="K152" i="2"/>
  <c r="K164" i="2"/>
  <c r="K173" i="2"/>
  <c r="K182" i="2"/>
  <c r="K191" i="2"/>
  <c r="K200" i="2"/>
  <c r="K209" i="2"/>
  <c r="K219" i="2"/>
  <c r="K228" i="2"/>
  <c r="K237" i="2"/>
  <c r="K246" i="2"/>
  <c r="K255" i="2"/>
  <c r="K264" i="2"/>
  <c r="K273" i="2"/>
  <c r="K283" i="2"/>
  <c r="K292" i="2"/>
  <c r="K301" i="2"/>
  <c r="K310" i="2"/>
  <c r="K319" i="2"/>
  <c r="K328" i="2"/>
  <c r="K337" i="2"/>
  <c r="K347" i="2"/>
  <c r="K356" i="2"/>
  <c r="K365" i="2"/>
  <c r="K374" i="2"/>
  <c r="K383" i="2"/>
  <c r="K392" i="2"/>
  <c r="K5" i="2"/>
  <c r="K15" i="2"/>
  <c r="K25" i="2"/>
  <c r="K37" i="2"/>
  <c r="K47" i="2"/>
  <c r="K57" i="2"/>
  <c r="K69" i="2"/>
  <c r="K79" i="2"/>
  <c r="K89" i="2"/>
  <c r="K101" i="2"/>
  <c r="K111" i="2"/>
  <c r="K121" i="2"/>
  <c r="K133" i="2"/>
  <c r="K143" i="2"/>
  <c r="K153" i="2"/>
  <c r="K165" i="2"/>
  <c r="K174" i="2"/>
  <c r="K183" i="2"/>
  <c r="K192" i="2"/>
  <c r="K201" i="2"/>
  <c r="K211" i="2"/>
  <c r="K220" i="2"/>
  <c r="K229" i="2"/>
  <c r="K238" i="2"/>
  <c r="K247" i="2"/>
  <c r="K256" i="2"/>
  <c r="K265" i="2"/>
  <c r="K275" i="2"/>
  <c r="K284" i="2"/>
  <c r="K293" i="2"/>
  <c r="K302" i="2"/>
  <c r="K311" i="2"/>
  <c r="K320" i="2"/>
  <c r="K329" i="2"/>
  <c r="K339" i="2"/>
  <c r="K348" i="2"/>
  <c r="K357" i="2"/>
  <c r="K366" i="2"/>
  <c r="K375" i="2"/>
  <c r="K384" i="2"/>
  <c r="K393" i="2"/>
  <c r="K6" i="2"/>
  <c r="K16" i="2"/>
  <c r="K28" i="2"/>
  <c r="K38" i="2"/>
  <c r="K48" i="2"/>
  <c r="K60" i="2"/>
  <c r="K70" i="2"/>
  <c r="K80" i="2"/>
  <c r="K92" i="2"/>
  <c r="K102" i="2"/>
  <c r="K112" i="2"/>
  <c r="K124" i="2"/>
  <c r="K134" i="2"/>
  <c r="K144" i="2"/>
  <c r="K156" i="2"/>
  <c r="K166" i="2"/>
  <c r="K175" i="2"/>
  <c r="K184" i="2"/>
  <c r="K193" i="2"/>
  <c r="K203" i="2"/>
  <c r="K212" i="2"/>
  <c r="K221" i="2"/>
  <c r="K230" i="2"/>
  <c r="K239" i="2"/>
  <c r="K248" i="2"/>
  <c r="K257" i="2"/>
  <c r="K267" i="2"/>
  <c r="K276" i="2"/>
  <c r="K285" i="2"/>
  <c r="K294" i="2"/>
  <c r="K303" i="2"/>
  <c r="K312" i="2"/>
  <c r="K321" i="2"/>
  <c r="K331" i="2"/>
  <c r="K340" i="2"/>
  <c r="K349" i="2"/>
  <c r="K358" i="2"/>
  <c r="K367" i="2"/>
  <c r="K376" i="2"/>
  <c r="K385" i="2"/>
  <c r="K395" i="2"/>
  <c r="K7" i="2"/>
  <c r="K17" i="2"/>
  <c r="K29" i="2"/>
  <c r="K39" i="2"/>
  <c r="K49" i="2"/>
  <c r="K61" i="2"/>
  <c r="K71" i="2"/>
  <c r="K81" i="2"/>
  <c r="K93" i="2"/>
  <c r="K103" i="2"/>
  <c r="K113" i="2"/>
  <c r="K390" i="2"/>
  <c r="K377" i="2"/>
  <c r="K361" i="2"/>
  <c r="K345" i="2"/>
  <c r="K333" i="2"/>
  <c r="K317" i="2"/>
  <c r="K304" i="2"/>
  <c r="K288" i="2"/>
  <c r="K272" i="2"/>
  <c r="K260" i="2"/>
  <c r="K244" i="2"/>
  <c r="K231" i="2"/>
  <c r="K215" i="2"/>
  <c r="K199" i="2"/>
  <c r="K187" i="2"/>
  <c r="K171" i="2"/>
  <c r="K157" i="2"/>
  <c r="K137" i="2"/>
  <c r="K119" i="2"/>
  <c r="K97" i="2"/>
  <c r="K77" i="2"/>
  <c r="K55" i="2"/>
  <c r="K33" i="2"/>
  <c r="K13" i="2"/>
  <c r="K389" i="2"/>
  <c r="K373" i="2"/>
  <c r="K360" i="2"/>
  <c r="K344" i="2"/>
  <c r="K332" i="2"/>
  <c r="K316" i="2"/>
  <c r="K300" i="2"/>
  <c r="K287" i="2"/>
  <c r="K271" i="2"/>
  <c r="K259" i="2"/>
  <c r="K243" i="2"/>
  <c r="K227" i="2"/>
  <c r="K214" i="2"/>
  <c r="K198" i="2"/>
  <c r="K185" i="2"/>
  <c r="K169" i="2"/>
  <c r="K151" i="2"/>
  <c r="K136" i="2"/>
  <c r="K118" i="2"/>
  <c r="K96" i="2"/>
  <c r="K76" i="2"/>
  <c r="K54" i="2"/>
  <c r="K32" i="2"/>
  <c r="K12" i="2"/>
  <c r="K388" i="2"/>
  <c r="K372" i="2"/>
  <c r="K359" i="2"/>
  <c r="K343" i="2"/>
  <c r="K327" i="2"/>
  <c r="K315" i="2"/>
  <c r="K299" i="2"/>
  <c r="K286" i="2"/>
  <c r="K270" i="2"/>
  <c r="K254" i="2"/>
  <c r="K241" i="2"/>
  <c r="K225" i="2"/>
  <c r="K213" i="2"/>
  <c r="K197" i="2"/>
  <c r="K181" i="2"/>
  <c r="K168" i="2"/>
  <c r="K150" i="2"/>
  <c r="K135" i="2"/>
  <c r="K117" i="2"/>
  <c r="K95" i="2"/>
  <c r="K73" i="2"/>
  <c r="K53" i="2"/>
  <c r="K31" i="2"/>
  <c r="K9" i="2"/>
  <c r="K399" i="2"/>
  <c r="K387" i="2"/>
  <c r="K371" i="2"/>
  <c r="K355" i="2"/>
  <c r="K342" i="2"/>
  <c r="K326" i="2"/>
  <c r="K313" i="2"/>
  <c r="K297" i="2"/>
  <c r="K281" i="2"/>
  <c r="K269" i="2"/>
  <c r="K253" i="2"/>
  <c r="K240" i="2"/>
  <c r="K224" i="2"/>
  <c r="K208" i="2"/>
  <c r="K196" i="2"/>
  <c r="K180" i="2"/>
  <c r="K167" i="2"/>
  <c r="K149" i="2"/>
  <c r="K129" i="2"/>
  <c r="K116" i="2"/>
  <c r="K94" i="2"/>
  <c r="K72" i="2"/>
  <c r="K52" i="2"/>
  <c r="K30" i="2"/>
  <c r="K8" i="2"/>
  <c r="J21" i="2"/>
  <c r="J53" i="2"/>
  <c r="J85" i="2"/>
  <c r="J117" i="2"/>
  <c r="J149" i="2"/>
  <c r="J181" i="2"/>
  <c r="J216" i="2"/>
  <c r="J245" i="2"/>
  <c r="J277" i="2"/>
  <c r="J300" i="2"/>
  <c r="J327" i="2"/>
  <c r="J351" i="2"/>
  <c r="J372" i="2"/>
  <c r="J396" i="2"/>
  <c r="J389" i="2"/>
  <c r="J367" i="2"/>
  <c r="J340" i="2"/>
  <c r="J311" i="2"/>
  <c r="J279" i="2"/>
  <c r="J248" i="2"/>
  <c r="J206" i="2"/>
  <c r="J176" i="2"/>
  <c r="J140" i="2"/>
  <c r="J101" i="2"/>
  <c r="J62" i="2"/>
  <c r="J23" i="2"/>
  <c r="J384" i="2"/>
  <c r="J359" i="2"/>
  <c r="J339" i="2"/>
  <c r="J308" i="2"/>
  <c r="J278" i="2"/>
  <c r="J244" i="2"/>
  <c r="J205" i="2"/>
  <c r="J166" i="2"/>
  <c r="J136" i="2"/>
  <c r="J100" i="2"/>
  <c r="J61" i="2"/>
  <c r="J22" i="2"/>
  <c r="J383" i="2"/>
  <c r="J358" i="2"/>
  <c r="J331" i="2"/>
  <c r="J304" i="2"/>
  <c r="J276" i="2"/>
  <c r="J240" i="2"/>
  <c r="J204" i="2"/>
  <c r="J165" i="2"/>
  <c r="J126" i="2"/>
  <c r="J96" i="2"/>
  <c r="J60" i="2"/>
  <c r="J14" i="2"/>
  <c r="K2" i="2"/>
  <c r="J5" i="2"/>
  <c r="J16" i="2"/>
  <c r="J30" i="2"/>
  <c r="J44" i="2"/>
  <c r="J55" i="2"/>
  <c r="J69" i="2"/>
  <c r="J80" i="2"/>
  <c r="J94" i="2"/>
  <c r="J108" i="2"/>
  <c r="J119" i="2"/>
  <c r="J133" i="2"/>
  <c r="J144" i="2"/>
  <c r="J158" i="2"/>
  <c r="J172" i="2"/>
  <c r="J183" i="2"/>
  <c r="J197" i="2"/>
  <c r="J208" i="2"/>
  <c r="J222" i="2"/>
  <c r="J236" i="2"/>
  <c r="J247" i="2"/>
  <c r="J261" i="2"/>
  <c r="J272" i="2"/>
  <c r="J285" i="2"/>
  <c r="J296" i="2"/>
  <c r="J310" i="2"/>
  <c r="J324" i="2"/>
  <c r="J334" i="2"/>
  <c r="J344" i="2"/>
  <c r="J356" i="2"/>
  <c r="J366" i="2"/>
  <c r="J376" i="2"/>
  <c r="J388" i="2"/>
  <c r="J398" i="2"/>
  <c r="J6" i="2"/>
  <c r="J20" i="2"/>
  <c r="J31" i="2"/>
  <c r="J45" i="2"/>
  <c r="J56" i="2"/>
  <c r="J70" i="2"/>
  <c r="J84" i="2"/>
  <c r="J95" i="2"/>
  <c r="J109" i="2"/>
  <c r="J120" i="2"/>
  <c r="J134" i="2"/>
  <c r="J148" i="2"/>
  <c r="J159" i="2"/>
  <c r="J173" i="2"/>
  <c r="J184" i="2"/>
  <c r="J198" i="2"/>
  <c r="J212" i="2"/>
  <c r="J223" i="2"/>
  <c r="J237" i="2"/>
  <c r="J392" i="2"/>
  <c r="J364" i="2"/>
  <c r="J336" i="2"/>
  <c r="J287" i="2"/>
  <c r="J254" i="2"/>
  <c r="J215" i="2"/>
  <c r="J152" i="2"/>
  <c r="J379" i="2"/>
  <c r="J349" i="2"/>
  <c r="J318" i="2"/>
  <c r="J286" i="2"/>
  <c r="J253" i="2"/>
  <c r="J214" i="2"/>
  <c r="J174" i="2"/>
  <c r="J128" i="2"/>
  <c r="J111" i="2"/>
  <c r="J71" i="2"/>
  <c r="J48" i="2"/>
  <c r="J28" i="2"/>
  <c r="J8" i="2"/>
  <c r="J380" i="2"/>
  <c r="J350" i="2"/>
  <c r="J319" i="2"/>
  <c r="J303" i="2"/>
  <c r="J270" i="2"/>
  <c r="J238" i="2"/>
  <c r="J192" i="2"/>
  <c r="J175" i="2"/>
  <c r="J135" i="2"/>
  <c r="J112" i="2"/>
  <c r="J92" i="2"/>
  <c r="J72" i="2"/>
  <c r="J52" i="2"/>
  <c r="J32" i="2"/>
  <c r="J12" i="2"/>
  <c r="J391" i="2"/>
  <c r="J363" i="2"/>
  <c r="J335" i="2"/>
  <c r="J302" i="2"/>
  <c r="J269" i="2"/>
  <c r="J231" i="2"/>
  <c r="J191" i="2"/>
  <c r="J151" i="2"/>
  <c r="J88" i="2"/>
  <c r="J390" i="2"/>
  <c r="J374" i="2"/>
  <c r="J360" i="2"/>
  <c r="J348" i="2"/>
  <c r="J332" i="2"/>
  <c r="J317" i="2"/>
  <c r="J301" i="2"/>
  <c r="J283" i="2"/>
  <c r="J268" i="2"/>
  <c r="J252" i="2"/>
  <c r="J230" i="2"/>
  <c r="J213" i="2"/>
  <c r="J190" i="2"/>
  <c r="J167" i="2"/>
  <c r="J150" i="2"/>
  <c r="J127" i="2"/>
  <c r="J110" i="2"/>
  <c r="J87" i="2"/>
  <c r="J64" i="2"/>
  <c r="J47" i="2"/>
  <c r="J24" i="2"/>
  <c r="J7" i="2"/>
  <c r="J9" i="2"/>
  <c r="J17" i="2"/>
  <c r="J25" i="2"/>
  <c r="J33" i="2"/>
  <c r="J41" i="2"/>
  <c r="J49" i="2"/>
  <c r="J57" i="2"/>
  <c r="J65" i="2"/>
  <c r="J73" i="2"/>
  <c r="J81" i="2"/>
  <c r="J89" i="2"/>
  <c r="J97" i="2"/>
  <c r="J105" i="2"/>
  <c r="J113" i="2"/>
  <c r="J121" i="2"/>
  <c r="J129" i="2"/>
  <c r="J137" i="2"/>
  <c r="J145" i="2"/>
  <c r="J153" i="2"/>
  <c r="J161" i="2"/>
  <c r="J169" i="2"/>
  <c r="J177" i="2"/>
  <c r="J185" i="2"/>
  <c r="J193" i="2"/>
  <c r="J201" i="2"/>
  <c r="J209" i="2"/>
  <c r="J217" i="2"/>
  <c r="J225" i="2"/>
  <c r="J233" i="2"/>
  <c r="J241" i="2"/>
  <c r="J249" i="2"/>
  <c r="J257" i="2"/>
  <c r="J265" i="2"/>
  <c r="J273" i="2"/>
  <c r="J281" i="2"/>
  <c r="J289" i="2"/>
  <c r="J297" i="2"/>
  <c r="J305" i="2"/>
  <c r="J313" i="2"/>
  <c r="J321" i="2"/>
  <c r="J329" i="2"/>
  <c r="J337" i="2"/>
  <c r="J345" i="2"/>
  <c r="J353" i="2"/>
  <c r="J361" i="2"/>
  <c r="J369" i="2"/>
  <c r="J377" i="2"/>
  <c r="J385" i="2"/>
  <c r="J393" i="2"/>
  <c r="J291" i="2"/>
  <c r="J299" i="2"/>
  <c r="J307" i="2"/>
  <c r="J315" i="2"/>
  <c r="J323" i="2"/>
  <c r="J2" i="2"/>
  <c r="J10" i="2"/>
  <c r="J18" i="2"/>
  <c r="J26" i="2"/>
  <c r="J34" i="2"/>
  <c r="J42" i="2"/>
  <c r="J50" i="2"/>
  <c r="J58" i="2"/>
  <c r="J66" i="2"/>
  <c r="J74" i="2"/>
  <c r="J82" i="2"/>
  <c r="J90" i="2"/>
  <c r="J98" i="2"/>
  <c r="J106" i="2"/>
  <c r="J114" i="2"/>
  <c r="J122" i="2"/>
  <c r="J130" i="2"/>
  <c r="J138" i="2"/>
  <c r="J146" i="2"/>
  <c r="J154" i="2"/>
  <c r="J162" i="2"/>
  <c r="J170" i="2"/>
  <c r="J178" i="2"/>
  <c r="J186" i="2"/>
  <c r="J194" i="2"/>
  <c r="J202" i="2"/>
  <c r="J210" i="2"/>
  <c r="J218" i="2"/>
  <c r="J226" i="2"/>
  <c r="J234" i="2"/>
  <c r="J242" i="2"/>
  <c r="J250" i="2"/>
  <c r="J258" i="2"/>
  <c r="J266" i="2"/>
  <c r="J274" i="2"/>
  <c r="J282" i="2"/>
  <c r="J290" i="2"/>
  <c r="J298" i="2"/>
  <c r="J306" i="2"/>
  <c r="J314" i="2"/>
  <c r="J322" i="2"/>
  <c r="J330" i="2"/>
  <c r="J338" i="2"/>
  <c r="J346" i="2"/>
  <c r="J354" i="2"/>
  <c r="J362" i="2"/>
  <c r="J370" i="2"/>
  <c r="J378" i="2"/>
  <c r="J386" i="2"/>
  <c r="J394" i="2"/>
  <c r="J3" i="2"/>
  <c r="J11" i="2"/>
  <c r="J19" i="2"/>
  <c r="J27" i="2"/>
  <c r="J35" i="2"/>
  <c r="J43" i="2"/>
  <c r="J51" i="2"/>
  <c r="J59" i="2"/>
  <c r="J67" i="2"/>
  <c r="J75" i="2"/>
  <c r="J83" i="2"/>
  <c r="J91" i="2"/>
  <c r="J99" i="2"/>
  <c r="J107" i="2"/>
  <c r="J115" i="2"/>
  <c r="J123" i="2"/>
  <c r="J131" i="2"/>
  <c r="J139" i="2"/>
  <c r="J147" i="2"/>
  <c r="J155" i="2"/>
  <c r="J163" i="2"/>
  <c r="J171" i="2"/>
  <c r="J179" i="2"/>
  <c r="J187" i="2"/>
  <c r="J195" i="2"/>
  <c r="J203" i="2"/>
  <c r="J211" i="2"/>
  <c r="J219" i="2"/>
  <c r="J227" i="2"/>
  <c r="J235" i="2"/>
  <c r="J243" i="2"/>
  <c r="J251" i="2"/>
  <c r="J259" i="2"/>
  <c r="J267" i="2"/>
  <c r="J275" i="2"/>
  <c r="J397" i="2"/>
  <c r="J387" i="2"/>
  <c r="J375" i="2"/>
  <c r="J365" i="2"/>
  <c r="J355" i="2"/>
  <c r="J343" i="2"/>
  <c r="J333" i="2"/>
  <c r="J320" i="2"/>
  <c r="J309" i="2"/>
  <c r="J295" i="2"/>
  <c r="J284" i="2"/>
  <c r="J271" i="2"/>
  <c r="J260" i="2"/>
  <c r="J246" i="2"/>
  <c r="J232" i="2"/>
  <c r="J221" i="2"/>
  <c r="J207" i="2"/>
  <c r="J196" i="2"/>
  <c r="J182" i="2"/>
  <c r="J168" i="2"/>
  <c r="J157" i="2"/>
  <c r="J143" i="2"/>
  <c r="J132" i="2"/>
  <c r="J118" i="2"/>
  <c r="J104" i="2"/>
  <c r="J93" i="2"/>
  <c r="J79" i="2"/>
  <c r="J68" i="2"/>
  <c r="J54" i="2"/>
  <c r="J40" i="2"/>
  <c r="J29" i="2"/>
  <c r="J15" i="2"/>
  <c r="J4" i="2"/>
  <c r="Q5" i="2" l="1"/>
  <c r="P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A4805-0871-48F1-A7F0-3BBF0681B47E}" keepAlive="1" name="Query - auto-mpg" description="Connection to the 'auto-mpg' query in the workbook." type="5" refreshedVersion="8" background="1" saveData="1">
    <dbPr connection="Provider=Microsoft.Mashup.OleDb.1;Data Source=$Workbook$;Location=auto-mpg;Extended Properties=&quot;&quot;" command="SELECT * FROM [auto-mpg]"/>
  </connection>
</connections>
</file>

<file path=xl/sharedStrings.xml><?xml version="1.0" encoding="utf-8"?>
<sst xmlns="http://schemas.openxmlformats.org/spreadsheetml/2006/main" count="811" uniqueCount="414">
  <si>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</si>
  <si>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</si>
  <si>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</si>
  <si>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</si>
  <si>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</si>
  <si>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</si>
  <si>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</si>
  <si>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</si>
  <si>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</si>
  <si>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</si>
  <si>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</si>
  <si>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</si>
  <si>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</si>
  <si>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</si>
  <si>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</si>
  <si>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</si>
  <si>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</si>
  <si>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</si>
  <si>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</si>
  <si>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</si>
  <si>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</si>
  <si>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</si>
  <si>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</si>
  <si>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</si>
  <si>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</si>
  <si>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</si>
  <si>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</si>
  <si>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</si>
  <si>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</si>
  <si>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</si>
  <si>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</si>
  <si>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</si>
  <si>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</si>
  <si>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</si>
  <si>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</si>
  <si>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</si>
  <si>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</si>
  <si>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</si>
  <si>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</si>
  <si>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</si>
  <si>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</si>
  <si>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</si>
  <si>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</si>
  <si>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</si>
  <si>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</si>
  <si>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</si>
  <si>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</si>
  <si>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</si>
  <si>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</si>
  <si>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</si>
  <si>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</si>
  <si>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</si>
  <si>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</si>
  <si>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</si>
  <si>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</si>
  <si>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</si>
  <si>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</si>
  <si>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</si>
  <si>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</si>
  <si>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</si>
  <si>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</si>
  <si>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</si>
  <si>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</si>
  <si>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</si>
  <si>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</si>
  <si>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</si>
  <si>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</si>
  <si>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</si>
  <si>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</si>
  <si>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</si>
  <si>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</si>
  <si>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</si>
  <si>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</si>
  <si>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</si>
  <si>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</si>
  <si>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</si>
  <si>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</si>
  <si>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</si>
  <si>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</si>
  <si>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</si>
  <si>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</si>
  <si>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</si>
  <si>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</si>
  <si>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</si>
  <si>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</si>
  <si>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</si>
  <si>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</si>
  <si>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</si>
  <si>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</si>
  <si>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</si>
  <si>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</si>
  <si>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</si>
  <si>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</si>
  <si>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</si>
  <si>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</si>
  <si>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</si>
  <si>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</si>
  <si>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</si>
  <si>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</si>
  <si>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</si>
  <si>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</si>
  <si>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</si>
  <si>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</si>
  <si>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</si>
  <si>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</si>
  <si>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</si>
  <si>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</si>
  <si>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</si>
  <si>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</si>
  <si>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</si>
  <si>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</si>
  <si>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</si>
  <si>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</si>
  <si>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</si>
  <si>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</si>
  <si>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</si>
  <si>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</si>
  <si>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</si>
  <si>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</si>
  <si>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</si>
  <si>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</si>
  <si>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</si>
  <si>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</si>
  <si>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</si>
  <si>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</si>
  <si>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</si>
  <si>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</si>
  <si>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</si>
  <si>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</si>
  <si>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</si>
  <si>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</si>
  <si>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</si>
  <si>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</si>
  <si>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</si>
  <si>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</si>
  <si>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</si>
  <si>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</si>
  <si>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</si>
  <si>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</si>
  <si>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</si>
  <si>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</si>
  <si>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</si>
  <si>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</si>
  <si>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</si>
  <si>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</si>
  <si>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</si>
  <si>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</si>
  <si>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</si>
  <si>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</si>
  <si>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</si>
  <si>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</si>
  <si>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</si>
  <si>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</si>
  <si>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</si>
  <si>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</si>
  <si>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</si>
  <si>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</si>
  <si>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</si>
  <si>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</si>
  <si>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</si>
  <si>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</si>
  <si>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</si>
  <si>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</si>
  <si>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</si>
  <si>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</si>
  <si>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</si>
  <si>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</si>
  <si>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</si>
  <si>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</si>
  <si>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</si>
  <si>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</si>
  <si>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</si>
  <si>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</si>
  <si>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</si>
  <si>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</si>
  <si>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</si>
  <si>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</si>
  <si>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</si>
  <si>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</si>
  <si>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</si>
  <si>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</si>
  <si>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</si>
  <si>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</si>
  <si>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</si>
  <si>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</si>
  <si>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</si>
  <si>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</si>
  <si>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</si>
  <si>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</si>
  <si>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</si>
  <si>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</si>
  <si>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</si>
  <si>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</si>
  <si>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</si>
  <si>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</si>
  <si>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</si>
  <si>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</si>
  <si>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</si>
  <si>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</si>
  <si>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</si>
  <si>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</si>
  <si>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</si>
  <si>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</si>
  <si>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</si>
  <si>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</si>
  <si>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</si>
  <si>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</si>
  <si>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</si>
  <si>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</si>
  <si>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</si>
  <si>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</si>
  <si>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</si>
  <si>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</si>
  <si>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</si>
  <si>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</si>
  <si>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</si>
  <si>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</si>
  <si>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</si>
  <si>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</si>
  <si>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</si>
  <si>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</si>
  <si>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</si>
  <si>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</si>
  <si>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</si>
  <si>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</si>
  <si>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</si>
  <si>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</si>
  <si>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</si>
  <si>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</si>
  <si>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</si>
  <si>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</si>
  <si>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</si>
  <si>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</si>
  <si>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</si>
  <si>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</si>
  <si>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</si>
  <si>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</si>
  <si>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</si>
  <si>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</si>
  <si>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</si>
  <si>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</si>
  <si>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</si>
  <si>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</si>
  <si>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</si>
  <si>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</si>
  <si>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</si>
  <si>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</si>
  <si>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</si>
  <si>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</si>
  <si>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</si>
  <si>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</si>
  <si>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</si>
  <si>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</si>
  <si>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</si>
  <si>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</si>
  <si>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</si>
  <si>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</si>
  <si>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</si>
  <si>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</si>
  <si>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</si>
  <si>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</si>
  <si>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</si>
  <si>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</si>
  <si>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</si>
  <si>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</si>
  <si>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</si>
  <si>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</si>
  <si>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</si>
  <si>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</si>
  <si>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</si>
  <si>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</si>
  <si>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</si>
  <si>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</si>
  <si>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</si>
  <si>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</si>
  <si>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</si>
  <si>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</si>
  <si>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</si>
  <si>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</si>
  <si>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</si>
  <si>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</si>
  <si>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</si>
  <si>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</si>
  <si>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</si>
  <si>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</si>
  <si>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</si>
  <si>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</si>
  <si>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</si>
  <si>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</si>
  <si>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</si>
  <si>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</si>
  <si>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</si>
  <si>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</si>
  <si>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</si>
  <si>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</si>
  <si>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</si>
  <si>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</si>
  <si>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</si>
  <si>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</si>
  <si>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</si>
  <si>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</si>
  <si>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</si>
  <si>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</si>
  <si>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</si>
  <si>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</si>
  <si>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</si>
  <si>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</si>
  <si>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</si>
  <si>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</si>
  <si>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</si>
  <si>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</si>
  <si>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</si>
  <si>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</si>
  <si>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</si>
  <si>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130.0</t>
  </si>
  <si>
    <t>165.0</t>
  </si>
  <si>
    <t>150.0</t>
  </si>
  <si>
    <t>140.0</t>
  </si>
  <si>
    <t>198.0</t>
  </si>
  <si>
    <t>220.0</t>
  </si>
  <si>
    <t>215.0</t>
  </si>
  <si>
    <t>225.0</t>
  </si>
  <si>
    <t>190.0</t>
  </si>
  <si>
    <t>170.0</t>
  </si>
  <si>
    <t>160.0</t>
  </si>
  <si>
    <t>95.00</t>
  </si>
  <si>
    <t>97.00</t>
  </si>
  <si>
    <t>85.00</t>
  </si>
  <si>
    <t>88.00</t>
  </si>
  <si>
    <t>46.00</t>
  </si>
  <si>
    <t>87.00</t>
  </si>
  <si>
    <t>90.00</t>
  </si>
  <si>
    <t>113.0</t>
  </si>
  <si>
    <t>200.0</t>
  </si>
  <si>
    <t>210.0</t>
  </si>
  <si>
    <t>193.0</t>
  </si>
  <si>
    <t>?</t>
  </si>
  <si>
    <t>100.0</t>
  </si>
  <si>
    <t>105.0</t>
  </si>
  <si>
    <t>175.0</t>
  </si>
  <si>
    <t>153.0</t>
  </si>
  <si>
    <t>180.0</t>
  </si>
  <si>
    <t>110.0</t>
  </si>
  <si>
    <t>72.00</t>
  </si>
  <si>
    <t>86.00</t>
  </si>
  <si>
    <t>70.00</t>
  </si>
  <si>
    <t>76.00</t>
  </si>
  <si>
    <t>65.00</t>
  </si>
  <si>
    <t>69.00</t>
  </si>
  <si>
    <t>60.00</t>
  </si>
  <si>
    <t>80.00</t>
  </si>
  <si>
    <t>54.00</t>
  </si>
  <si>
    <t>208.0</t>
  </si>
  <si>
    <t>155.0</t>
  </si>
  <si>
    <t>112.0</t>
  </si>
  <si>
    <t>92.00</t>
  </si>
  <si>
    <t>145.0</t>
  </si>
  <si>
    <t>137.0</t>
  </si>
  <si>
    <t>158.0</t>
  </si>
  <si>
    <t>167.0</t>
  </si>
  <si>
    <t>94.00</t>
  </si>
  <si>
    <t>107.0</t>
  </si>
  <si>
    <t>230.0</t>
  </si>
  <si>
    <t>49.00</t>
  </si>
  <si>
    <t>75.00</t>
  </si>
  <si>
    <t>91.00</t>
  </si>
  <si>
    <t>122.0</t>
  </si>
  <si>
    <t>67.00</t>
  </si>
  <si>
    <t>83.00</t>
  </si>
  <si>
    <t>78.00</t>
  </si>
  <si>
    <t>52.00</t>
  </si>
  <si>
    <t>61.00</t>
  </si>
  <si>
    <t>93.00</t>
  </si>
  <si>
    <t>148.0</t>
  </si>
  <si>
    <t>129.0</t>
  </si>
  <si>
    <t>96.00</t>
  </si>
  <si>
    <t>71.00</t>
  </si>
  <si>
    <t>98.00</t>
  </si>
  <si>
    <t>115.0</t>
  </si>
  <si>
    <t>53.00</t>
  </si>
  <si>
    <t>81.00</t>
  </si>
  <si>
    <t>79.00</t>
  </si>
  <si>
    <t>120.0</t>
  </si>
  <si>
    <t>152.0</t>
  </si>
  <si>
    <t>102.0</t>
  </si>
  <si>
    <t>108.0</t>
  </si>
  <si>
    <t>68.00</t>
  </si>
  <si>
    <t>58.00</t>
  </si>
  <si>
    <t>149.0</t>
  </si>
  <si>
    <t>89.00</t>
  </si>
  <si>
    <t>63.00</t>
  </si>
  <si>
    <t>48.00</t>
  </si>
  <si>
    <t>66.00</t>
  </si>
  <si>
    <t>139.0</t>
  </si>
  <si>
    <t>103.0</t>
  </si>
  <si>
    <t>125.0</t>
  </si>
  <si>
    <t>133.0</t>
  </si>
  <si>
    <t>138.0</t>
  </si>
  <si>
    <t>135.0</t>
  </si>
  <si>
    <t>142.0</t>
  </si>
  <si>
    <t>77.00</t>
  </si>
  <si>
    <t>62.00</t>
  </si>
  <si>
    <t>132.0</t>
  </si>
  <si>
    <t>84.00</t>
  </si>
  <si>
    <t>64.00</t>
  </si>
  <si>
    <t>74.00</t>
  </si>
  <si>
    <t>116.0</t>
  </si>
  <si>
    <t>82.00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</si>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</sst>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81A355-0097-4BEF-A047-AE904C7946CD}" autoFormatId="16" applyNumberFormats="0" applyBorderFormats="0" applyFontFormats="0" applyPatternFormats="0" applyAlignmentFormats="0" applyWidthHeightFormats="0">
  <queryTableRefresh nextId="16" unboundColumnsRight="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AEF89-5E27-4054-B6EB-6B48BAD0C0D3}" name="auto_mpg" displayName="auto_mpg" ref="A1:O399" tableType="queryTable" totalsRowShown="0">
  <autoFilter ref="A1:O399" xr:uid="{356AEF89-5E27-4054-B6EB-6B48BAD0C0D3}"/>
  <tableColumns count="15">
    <tableColumn id="1" xr3:uid="{E31024E3-77F8-49A2-AF80-C6544E13141D}" uniqueName="1" name="Column1" queryTableFieldId="1"/>
    <tableColumn id="2" xr3:uid="{D5246DF5-C120-4D34-9EA7-ACB305917C2A}" uniqueName="2" name="Column2" queryTableFieldId="2"/>
    <tableColumn id="3" xr3:uid="{0F145B33-CD7A-44DD-8160-8F26CC250556}" uniqueName="3" name="Column3" queryTableFieldId="3"/>
    <tableColumn id="4" xr3:uid="{8B2FFF30-5259-4707-B0B6-87BD43E7B94D}" uniqueName="4" name="Column4" queryTableFieldId="4" dataDxfId="2"/>
    <tableColumn id="5" xr3:uid="{810828C7-EFB2-47D8-8072-08885CE35ECC}" uniqueName="5" name="Column5" queryTableFieldId="5"/>
    <tableColumn id="6" xr3:uid="{5E2CDC86-FCA7-4304-A2F9-69873D3B1FC6}" uniqueName="6" name="Column6" queryTableFieldId="6"/>
    <tableColumn id="7" xr3:uid="{6BD40141-5472-4186-93D9-399498B053DA}" uniqueName="7" name="Column7" queryTableFieldId="7"/>
    <tableColumn id="8" xr3:uid="{7DCBFCC4-0E7D-44CD-8F4F-C08328548FDD}" uniqueName="8" name="Column8" queryTableFieldId="8"/>
    <tableColumn id="9" xr3:uid="{AC0D9AF1-B32A-477D-B43A-CD141DD592D0}" uniqueName="9" name="Column9" queryTableFieldId="9" dataDxfId="1"/>
    <tableColumn id="10" xr3:uid="{E25BBACC-DC97-43A0-876E-2C50E00B7C8C}" uniqueName="10" name="Column10" queryTableFieldId="10" dataDxfId="0">
      <calculatedColumnFormula>(B2-P$2)/P$3</calculatedColumnFormula>
    </tableColumn>
    <tableColumn id="11" xr3:uid="{B44AC594-BAED-4A6E-8EE1-4B9EC143DC4A}" uniqueName="11" name="Column11" queryTableFieldId="11">
      <calculatedColumnFormula>(C2-Q$2)/Q$3</calculatedColumnFormula>
    </tableColumn>
    <tableColumn id="12" xr3:uid="{DB8E0568-CA24-4A3C-808F-8C0E17FA1141}" uniqueName="12" name="Column12" queryTableFieldId="12">
      <calculatedColumnFormula>(D2-R$2)/R$3</calculatedColumnFormula>
    </tableColumn>
    <tableColumn id="13" xr3:uid="{EE8FEFBF-D15A-4138-8B60-C6FCEC9A979C}" uniqueName="13" name="Column13" queryTableFieldId="13">
      <calculatedColumnFormula>(E2-S$2)/S$3</calculatedColumnFormula>
    </tableColumn>
    <tableColumn id="14" xr3:uid="{4C32AEAC-1CF6-4B6A-BAD2-C5B50193C2DB}" uniqueName="14" name="Column14" queryTableFieldId="14">
      <calculatedColumnFormula>(F2-T$2)/T$3</calculatedColumnFormula>
    </tableColumn>
    <tableColumn id="15" xr3:uid="{10351EE4-106C-45BB-B55D-74E10402F388}" uniqueName="15" name="Column15" queryTableFieldId="15">
      <calculatedColumnFormula>(G2-U$2)/U$3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FB57-30D3-46DB-9687-000718669818}">
  <dimension ref="A1:V399"/>
  <sheetViews>
    <sheetView tabSelected="1" topLeftCell="D1" workbookViewId="0">
      <selection activeCell="O2" sqref="O2:O399"/>
    </sheetView>
  </sheetViews>
  <sheetFormatPr defaultRowHeight="14.6" x14ac:dyDescent="0.4"/>
  <cols>
    <col min="1" max="8" width="10.61328125" bestFit="1" customWidth="1"/>
    <col min="9" max="9" width="30.61328125" bestFit="1" customWidth="1"/>
    <col min="14" max="14" width="12.4609375" bestFit="1" customWidth="1"/>
  </cols>
  <sheetData>
    <row r="1" spans="1:22" x14ac:dyDescent="0.4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408</v>
      </c>
      <c r="K1" t="s">
        <v>409</v>
      </c>
      <c r="L1" t="s">
        <v>410</v>
      </c>
      <c r="M1" t="s">
        <v>411</v>
      </c>
      <c r="N1" t="s">
        <v>412</v>
      </c>
      <c r="O1" t="s">
        <v>413</v>
      </c>
    </row>
    <row r="2" spans="1:22" x14ac:dyDescent="0.4">
      <c r="A2">
        <v>18</v>
      </c>
      <c r="B2">
        <v>8</v>
      </c>
      <c r="C2">
        <v>307</v>
      </c>
      <c r="D2" t="s">
        <v>314</v>
      </c>
      <c r="E2">
        <v>3504</v>
      </c>
      <c r="F2">
        <v>12</v>
      </c>
      <c r="G2">
        <v>70</v>
      </c>
      <c r="H2">
        <v>1</v>
      </c>
      <c r="I2" t="s">
        <v>0</v>
      </c>
      <c r="J2">
        <f>(B2-P$2)/P$3</f>
        <v>1.498191258034802</v>
      </c>
      <c r="K2">
        <f>(C2-Q$2)/Q$3</f>
        <v>1.0906036979541753</v>
      </c>
      <c r="L2" t="e">
        <f t="shared" ref="L2:O17" si="0">(D2-R$2)/R$3</f>
        <v>#DIV/0!</v>
      </c>
      <c r="M2">
        <f t="shared" si="0"/>
        <v>0.63086987416754559</v>
      </c>
      <c r="N2">
        <f t="shared" si="0"/>
        <v>-1.2954983442941996</v>
      </c>
      <c r="O2">
        <f t="shared" si="0"/>
        <v>-1.6274262921583209</v>
      </c>
      <c r="P2">
        <f>AVERAGE(auto_mpg[Column2])</f>
        <v>5.4547738693467336</v>
      </c>
      <c r="Q2">
        <f>AVERAGE(auto_mpg[Column3])</f>
        <v>193.42587939698493</v>
      </c>
      <c r="R2" t="e">
        <f>AVERAGE(auto_mpg[Column4])</f>
        <v>#DIV/0!</v>
      </c>
      <c r="S2">
        <f>AVERAGE(auto_mpg[Column5])</f>
        <v>2970.424623115578</v>
      </c>
      <c r="T2">
        <f>AVERAGE(auto_mpg[Column6])</f>
        <v>15.568090452261291</v>
      </c>
      <c r="U2">
        <f>AVERAGE(auto_mpg[Column7])</f>
        <v>76.010050251256288</v>
      </c>
      <c r="V2">
        <f>AVERAGE(auto_mpg[Column8])</f>
        <v>1.5728643216080402</v>
      </c>
    </row>
    <row r="3" spans="1:22" x14ac:dyDescent="0.4">
      <c r="A3">
        <v>15</v>
      </c>
      <c r="B3">
        <v>8</v>
      </c>
      <c r="C3">
        <v>350</v>
      </c>
      <c r="D3" t="s">
        <v>315</v>
      </c>
      <c r="E3">
        <v>3693</v>
      </c>
      <c r="F3">
        <v>11.5</v>
      </c>
      <c r="G3">
        <v>70</v>
      </c>
      <c r="H3">
        <v>1</v>
      </c>
      <c r="I3" t="s">
        <v>1</v>
      </c>
      <c r="J3">
        <f t="shared" ref="J3:J66" si="1">(B3-P$2)/P$3</f>
        <v>1.498191258034802</v>
      </c>
      <c r="K3">
        <f t="shared" ref="K3:O66" si="2">(C3-Q$2)/Q$3</f>
        <v>1.5035143043761157</v>
      </c>
      <c r="L3" t="e">
        <f t="shared" si="0"/>
        <v>#DIV/0!</v>
      </c>
      <c r="M3">
        <f t="shared" si="0"/>
        <v>0.8543329711977774</v>
      </c>
      <c r="N3">
        <f t="shared" si="0"/>
        <v>-1.4770377925827334</v>
      </c>
      <c r="O3">
        <f t="shared" si="0"/>
        <v>-1.6274262921583209</v>
      </c>
      <c r="P3">
        <f>_xlfn.STDEV.P(auto_mpg[Column2])</f>
        <v>1.6988659605395604</v>
      </c>
      <c r="Q3">
        <f>_xlfn.STDEV.P(auto_mpg[Column3])</f>
        <v>104.13876352708571</v>
      </c>
      <c r="R3" t="e">
        <f>_xlfn.STDEV.P(auto_mpg[Column4])</f>
        <v>#DIV/0!</v>
      </c>
      <c r="S3">
        <f>_xlfn.STDEV.P(auto_mpg[Column5])</f>
        <v>845.7772335198174</v>
      </c>
      <c r="T3">
        <f>_xlfn.STDEV.P(auto_mpg[Column6])</f>
        <v>2.7542223175941012</v>
      </c>
      <c r="U3">
        <f>_xlfn.STDEV.P(auto_mpg[Column7])</f>
        <v>3.6929784655780975</v>
      </c>
      <c r="V3">
        <f>_xlfn.STDEV.P(auto_mpg[Column8])</f>
        <v>0.80104663738119253</v>
      </c>
    </row>
    <row r="4" spans="1:22" x14ac:dyDescent="0.4">
      <c r="A4">
        <v>18</v>
      </c>
      <c r="B4">
        <v>8</v>
      </c>
      <c r="C4">
        <v>318</v>
      </c>
      <c r="D4" t="s">
        <v>316</v>
      </c>
      <c r="E4">
        <v>3436</v>
      </c>
      <c r="F4">
        <v>11</v>
      </c>
      <c r="G4">
        <v>70</v>
      </c>
      <c r="H4">
        <v>1</v>
      </c>
      <c r="I4" t="s">
        <v>2</v>
      </c>
      <c r="J4">
        <f t="shared" si="1"/>
        <v>1.498191258034802</v>
      </c>
      <c r="K4">
        <f t="shared" si="2"/>
        <v>1.1962319926202531</v>
      </c>
      <c r="L4" t="e">
        <f t="shared" si="0"/>
        <v>#DIV/0!</v>
      </c>
      <c r="M4">
        <f t="shared" si="0"/>
        <v>0.55047045301381137</v>
      </c>
      <c r="N4">
        <f t="shared" si="0"/>
        <v>-1.6585772408712671</v>
      </c>
      <c r="O4">
        <f t="shared" si="0"/>
        <v>-1.6274262921583209</v>
      </c>
    </row>
    <row r="5" spans="1:22" x14ac:dyDescent="0.4">
      <c r="A5">
        <v>16</v>
      </c>
      <c r="B5">
        <v>8</v>
      </c>
      <c r="C5">
        <v>304</v>
      </c>
      <c r="D5" t="s">
        <v>316</v>
      </c>
      <c r="E5">
        <v>3433</v>
      </c>
      <c r="F5">
        <v>12</v>
      </c>
      <c r="G5">
        <v>70</v>
      </c>
      <c r="H5">
        <v>1</v>
      </c>
      <c r="I5" t="s">
        <v>3</v>
      </c>
      <c r="J5">
        <f t="shared" si="1"/>
        <v>1.498191258034802</v>
      </c>
      <c r="K5">
        <f t="shared" si="2"/>
        <v>1.0617959812270632</v>
      </c>
      <c r="L5" t="e">
        <f t="shared" si="0"/>
        <v>#DIV/0!</v>
      </c>
      <c r="M5">
        <f t="shared" si="0"/>
        <v>0.54692341972761715</v>
      </c>
      <c r="N5">
        <f t="shared" si="0"/>
        <v>-1.2954983442941996</v>
      </c>
      <c r="O5">
        <f t="shared" si="0"/>
        <v>-1.6274262921583209</v>
      </c>
      <c r="P5">
        <f>AVERAGE(auto_mpg[Column10])</f>
        <v>-5.1717424312940708E-16</v>
      </c>
      <c r="Q5">
        <f>_xlfn.STDEV.P(auto_mpg[Column10])</f>
        <v>1.0000000000000018</v>
      </c>
    </row>
    <row r="6" spans="1:22" x14ac:dyDescent="0.4">
      <c r="A6">
        <v>17</v>
      </c>
      <c r="B6">
        <v>8</v>
      </c>
      <c r="C6">
        <v>302</v>
      </c>
      <c r="D6" t="s">
        <v>317</v>
      </c>
      <c r="E6">
        <v>3449</v>
      </c>
      <c r="F6">
        <v>10.5</v>
      </c>
      <c r="G6">
        <v>70</v>
      </c>
      <c r="H6">
        <v>1</v>
      </c>
      <c r="I6" t="s">
        <v>4</v>
      </c>
      <c r="J6">
        <f t="shared" si="1"/>
        <v>1.498191258034802</v>
      </c>
      <c r="K6">
        <f t="shared" si="2"/>
        <v>1.0425908367423218</v>
      </c>
      <c r="L6" t="e">
        <f t="shared" si="0"/>
        <v>#DIV/0!</v>
      </c>
      <c r="M6">
        <f t="shared" si="0"/>
        <v>0.56584093058731932</v>
      </c>
      <c r="N6">
        <f t="shared" si="0"/>
        <v>-1.8401166891598009</v>
      </c>
      <c r="O6">
        <f t="shared" si="0"/>
        <v>-1.6274262921583209</v>
      </c>
    </row>
    <row r="7" spans="1:22" x14ac:dyDescent="0.4">
      <c r="A7">
        <v>15</v>
      </c>
      <c r="B7">
        <v>8</v>
      </c>
      <c r="C7">
        <v>429</v>
      </c>
      <c r="D7" t="s">
        <v>318</v>
      </c>
      <c r="E7">
        <v>4341</v>
      </c>
      <c r="F7">
        <v>10</v>
      </c>
      <c r="G7">
        <v>70</v>
      </c>
      <c r="H7">
        <v>1</v>
      </c>
      <c r="I7" t="s">
        <v>5</v>
      </c>
      <c r="J7">
        <f t="shared" si="1"/>
        <v>1.498191258034802</v>
      </c>
      <c r="K7">
        <f t="shared" si="2"/>
        <v>2.2621175115234013</v>
      </c>
      <c r="L7" t="e">
        <f t="shared" si="0"/>
        <v>#DIV/0!</v>
      </c>
      <c r="M7">
        <f t="shared" si="0"/>
        <v>1.620492161015715</v>
      </c>
      <c r="N7">
        <f t="shared" si="0"/>
        <v>-2.0216561374483346</v>
      </c>
      <c r="O7">
        <f t="shared" si="0"/>
        <v>-1.6274262921583209</v>
      </c>
    </row>
    <row r="8" spans="1:22" x14ac:dyDescent="0.4">
      <c r="A8">
        <v>14</v>
      </c>
      <c r="B8">
        <v>8</v>
      </c>
      <c r="C8">
        <v>454</v>
      </c>
      <c r="D8" t="s">
        <v>319</v>
      </c>
      <c r="E8">
        <v>4354</v>
      </c>
      <c r="F8">
        <v>9</v>
      </c>
      <c r="G8">
        <v>70</v>
      </c>
      <c r="H8">
        <v>1</v>
      </c>
      <c r="I8" t="s">
        <v>6</v>
      </c>
      <c r="J8">
        <f t="shared" si="1"/>
        <v>1.498191258034802</v>
      </c>
      <c r="K8">
        <f t="shared" si="2"/>
        <v>2.5021818175826693</v>
      </c>
      <c r="L8" t="e">
        <f t="shared" si="0"/>
        <v>#DIV/0!</v>
      </c>
      <c r="M8">
        <f t="shared" si="0"/>
        <v>1.635862638589223</v>
      </c>
      <c r="N8">
        <f t="shared" si="0"/>
        <v>-2.3847350340254021</v>
      </c>
      <c r="O8">
        <f t="shared" si="0"/>
        <v>-1.6274262921583209</v>
      </c>
    </row>
    <row r="9" spans="1:22" x14ac:dyDescent="0.4">
      <c r="A9">
        <v>14</v>
      </c>
      <c r="B9">
        <v>8</v>
      </c>
      <c r="C9">
        <v>440</v>
      </c>
      <c r="D9" t="s">
        <v>320</v>
      </c>
      <c r="E9">
        <v>4312</v>
      </c>
      <c r="F9">
        <v>8.5</v>
      </c>
      <c r="G9">
        <v>70</v>
      </c>
      <c r="H9">
        <v>1</v>
      </c>
      <c r="I9" t="s">
        <v>7</v>
      </c>
      <c r="J9">
        <f t="shared" si="1"/>
        <v>1.498191258034802</v>
      </c>
      <c r="K9">
        <f t="shared" si="2"/>
        <v>2.3677458061894789</v>
      </c>
      <c r="L9" t="e">
        <f t="shared" si="0"/>
        <v>#DIV/0!</v>
      </c>
      <c r="M9">
        <f t="shared" si="0"/>
        <v>1.5862041725825049</v>
      </c>
      <c r="N9">
        <f t="shared" si="0"/>
        <v>-2.5662744823139363</v>
      </c>
      <c r="O9">
        <f t="shared" si="0"/>
        <v>-1.6274262921583209</v>
      </c>
    </row>
    <row r="10" spans="1:22" x14ac:dyDescent="0.4">
      <c r="A10">
        <v>14</v>
      </c>
      <c r="B10">
        <v>8</v>
      </c>
      <c r="C10">
        <v>455</v>
      </c>
      <c r="D10" t="s">
        <v>321</v>
      </c>
      <c r="E10">
        <v>4425</v>
      </c>
      <c r="F10">
        <v>10</v>
      </c>
      <c r="G10">
        <v>70</v>
      </c>
      <c r="H10">
        <v>1</v>
      </c>
      <c r="I10" t="s">
        <v>8</v>
      </c>
      <c r="J10">
        <f t="shared" si="1"/>
        <v>1.498191258034802</v>
      </c>
      <c r="K10">
        <f t="shared" si="2"/>
        <v>2.5117843898250398</v>
      </c>
      <c r="L10" t="e">
        <f t="shared" si="0"/>
        <v>#DIV/0!</v>
      </c>
      <c r="M10">
        <f t="shared" si="0"/>
        <v>1.7198090930291514</v>
      </c>
      <c r="N10">
        <f t="shared" si="0"/>
        <v>-2.0216561374483346</v>
      </c>
      <c r="O10">
        <f t="shared" si="0"/>
        <v>-1.6274262921583209</v>
      </c>
    </row>
    <row r="11" spans="1:22" x14ac:dyDescent="0.4">
      <c r="A11">
        <v>15</v>
      </c>
      <c r="B11">
        <v>8</v>
      </c>
      <c r="C11">
        <v>390</v>
      </c>
      <c r="D11" t="s">
        <v>322</v>
      </c>
      <c r="E11">
        <v>3850</v>
      </c>
      <c r="F11">
        <v>8.5</v>
      </c>
      <c r="G11">
        <v>70</v>
      </c>
      <c r="H11">
        <v>1</v>
      </c>
      <c r="I11" t="s">
        <v>9</v>
      </c>
      <c r="J11">
        <f t="shared" si="1"/>
        <v>1.498191258034802</v>
      </c>
      <c r="K11">
        <f t="shared" si="2"/>
        <v>1.8876171940709439</v>
      </c>
      <c r="L11" t="e">
        <f t="shared" si="0"/>
        <v>#DIV/0!</v>
      </c>
      <c r="M11">
        <f t="shared" si="0"/>
        <v>1.0399610465086049</v>
      </c>
      <c r="N11">
        <f t="shared" si="0"/>
        <v>-2.5662744823139363</v>
      </c>
      <c r="O11">
        <f t="shared" si="0"/>
        <v>-1.6274262921583209</v>
      </c>
    </row>
    <row r="12" spans="1:22" x14ac:dyDescent="0.4">
      <c r="A12">
        <v>15</v>
      </c>
      <c r="B12">
        <v>8</v>
      </c>
      <c r="C12">
        <v>383</v>
      </c>
      <c r="D12" t="s">
        <v>323</v>
      </c>
      <c r="E12">
        <v>3563</v>
      </c>
      <c r="F12">
        <v>10</v>
      </c>
      <c r="G12">
        <v>70</v>
      </c>
      <c r="H12">
        <v>1</v>
      </c>
      <c r="I12" t="s">
        <v>10</v>
      </c>
      <c r="J12">
        <f t="shared" si="1"/>
        <v>1.498191258034802</v>
      </c>
      <c r="K12">
        <f t="shared" si="2"/>
        <v>1.8203991883743489</v>
      </c>
      <c r="L12" t="e">
        <f t="shared" si="0"/>
        <v>#DIV/0!</v>
      </c>
      <c r="M12">
        <f t="shared" si="0"/>
        <v>0.70062819546269728</v>
      </c>
      <c r="N12">
        <f t="shared" si="0"/>
        <v>-2.0216561374483346</v>
      </c>
      <c r="O12">
        <f t="shared" si="0"/>
        <v>-1.6274262921583209</v>
      </c>
    </row>
    <row r="13" spans="1:22" x14ac:dyDescent="0.4">
      <c r="A13">
        <v>14</v>
      </c>
      <c r="B13">
        <v>8</v>
      </c>
      <c r="C13">
        <v>340</v>
      </c>
      <c r="D13" t="s">
        <v>324</v>
      </c>
      <c r="E13">
        <v>3609</v>
      </c>
      <c r="F13">
        <v>8</v>
      </c>
      <c r="G13">
        <v>70</v>
      </c>
      <c r="H13">
        <v>1</v>
      </c>
      <c r="I13" t="s">
        <v>11</v>
      </c>
      <c r="J13">
        <f t="shared" si="1"/>
        <v>1.498191258034802</v>
      </c>
      <c r="K13">
        <f t="shared" si="2"/>
        <v>1.4074885819524086</v>
      </c>
      <c r="L13" t="e">
        <f t="shared" si="0"/>
        <v>#DIV/0!</v>
      </c>
      <c r="M13">
        <f t="shared" si="0"/>
        <v>0.75501603918434101</v>
      </c>
      <c r="N13">
        <f t="shared" si="0"/>
        <v>-2.74781393060247</v>
      </c>
      <c r="O13">
        <f t="shared" si="0"/>
        <v>-1.6274262921583209</v>
      </c>
    </row>
    <row r="14" spans="1:22" x14ac:dyDescent="0.4">
      <c r="A14">
        <v>15</v>
      </c>
      <c r="B14">
        <v>8</v>
      </c>
      <c r="C14">
        <v>400</v>
      </c>
      <c r="D14" t="s">
        <v>316</v>
      </c>
      <c r="E14">
        <v>3761</v>
      </c>
      <c r="F14">
        <v>9.5</v>
      </c>
      <c r="G14">
        <v>70</v>
      </c>
      <c r="H14">
        <v>1</v>
      </c>
      <c r="I14" t="s">
        <v>12</v>
      </c>
      <c r="J14">
        <f t="shared" si="1"/>
        <v>1.498191258034802</v>
      </c>
      <c r="K14">
        <f t="shared" si="2"/>
        <v>1.9836429164946507</v>
      </c>
      <c r="L14" t="e">
        <f t="shared" si="0"/>
        <v>#DIV/0!</v>
      </c>
      <c r="M14">
        <f t="shared" si="0"/>
        <v>0.93473239235151162</v>
      </c>
      <c r="N14">
        <f t="shared" si="0"/>
        <v>-2.2031955857368684</v>
      </c>
      <c r="O14">
        <f t="shared" si="0"/>
        <v>-1.6274262921583209</v>
      </c>
    </row>
    <row r="15" spans="1:22" x14ac:dyDescent="0.4">
      <c r="A15">
        <v>14</v>
      </c>
      <c r="B15">
        <v>8</v>
      </c>
      <c r="C15">
        <v>455</v>
      </c>
      <c r="D15" t="s">
        <v>321</v>
      </c>
      <c r="E15">
        <v>3086</v>
      </c>
      <c r="F15">
        <v>10</v>
      </c>
      <c r="G15">
        <v>70</v>
      </c>
      <c r="H15">
        <v>1</v>
      </c>
      <c r="I15" t="s">
        <v>13</v>
      </c>
      <c r="J15">
        <f t="shared" si="1"/>
        <v>1.498191258034802</v>
      </c>
      <c r="K15">
        <f t="shared" si="2"/>
        <v>2.5117843898250398</v>
      </c>
      <c r="L15" t="e">
        <f t="shared" si="0"/>
        <v>#DIV/0!</v>
      </c>
      <c r="M15">
        <f t="shared" si="0"/>
        <v>0.13664990295782647</v>
      </c>
      <c r="N15">
        <f t="shared" si="0"/>
        <v>-2.0216561374483346</v>
      </c>
      <c r="O15">
        <f t="shared" si="0"/>
        <v>-1.6274262921583209</v>
      </c>
    </row>
    <row r="16" spans="1:22" x14ac:dyDescent="0.4">
      <c r="A16">
        <v>24</v>
      </c>
      <c r="B16">
        <v>4</v>
      </c>
      <c r="C16">
        <v>113</v>
      </c>
      <c r="D16" t="s">
        <v>325</v>
      </c>
      <c r="E16">
        <v>2372</v>
      </c>
      <c r="F16">
        <v>15</v>
      </c>
      <c r="G16">
        <v>70</v>
      </c>
      <c r="H16">
        <v>3</v>
      </c>
      <c r="I16" t="s">
        <v>14</v>
      </c>
      <c r="J16">
        <f t="shared" si="1"/>
        <v>-0.85632057097941794</v>
      </c>
      <c r="K16">
        <f t="shared" si="2"/>
        <v>-0.77229531706574139</v>
      </c>
      <c r="L16" t="e">
        <f t="shared" si="0"/>
        <v>#DIV/0!</v>
      </c>
      <c r="M16">
        <f t="shared" si="0"/>
        <v>-0.70754401915638265</v>
      </c>
      <c r="N16">
        <f t="shared" si="0"/>
        <v>-0.20626165456299692</v>
      </c>
      <c r="O16">
        <f t="shared" si="0"/>
        <v>-1.6274262921583209</v>
      </c>
    </row>
    <row r="17" spans="1:15" x14ac:dyDescent="0.4">
      <c r="A17">
        <v>22</v>
      </c>
      <c r="B17">
        <v>6</v>
      </c>
      <c r="C17">
        <v>198</v>
      </c>
      <c r="D17" t="s">
        <v>325</v>
      </c>
      <c r="E17">
        <v>2833</v>
      </c>
      <c r="F17">
        <v>15.5</v>
      </c>
      <c r="G17">
        <v>70</v>
      </c>
      <c r="H17">
        <v>1</v>
      </c>
      <c r="I17" t="s">
        <v>15</v>
      </c>
      <c r="J17">
        <f t="shared" si="1"/>
        <v>0.3209353435276921</v>
      </c>
      <c r="K17">
        <f t="shared" si="2"/>
        <v>4.3923323535768506E-2</v>
      </c>
      <c r="L17" t="e">
        <f t="shared" si="0"/>
        <v>#DIV/0!</v>
      </c>
      <c r="M17">
        <f t="shared" si="0"/>
        <v>-0.16248323751121402</v>
      </c>
      <c r="N17">
        <f t="shared" si="0"/>
        <v>-2.4722206274463136E-2</v>
      </c>
      <c r="O17">
        <f t="shared" si="0"/>
        <v>-1.6274262921583209</v>
      </c>
    </row>
    <row r="18" spans="1:15" x14ac:dyDescent="0.4">
      <c r="A18">
        <v>18</v>
      </c>
      <c r="B18">
        <v>6</v>
      </c>
      <c r="C18">
        <v>199</v>
      </c>
      <c r="D18" t="s">
        <v>326</v>
      </c>
      <c r="E18">
        <v>2774</v>
      </c>
      <c r="F18">
        <v>15.5</v>
      </c>
      <c r="G18">
        <v>70</v>
      </c>
      <c r="H18">
        <v>1</v>
      </c>
      <c r="I18" t="s">
        <v>16</v>
      </c>
      <c r="J18">
        <f t="shared" si="1"/>
        <v>0.3209353435276921</v>
      </c>
      <c r="K18">
        <f t="shared" si="2"/>
        <v>5.352589577813921E-2</v>
      </c>
      <c r="L18" t="e">
        <f t="shared" si="2"/>
        <v>#DIV/0!</v>
      </c>
      <c r="M18">
        <f t="shared" si="2"/>
        <v>-0.23224155880636577</v>
      </c>
      <c r="N18">
        <f t="shared" si="2"/>
        <v>-2.4722206274463136E-2</v>
      </c>
      <c r="O18">
        <f t="shared" si="2"/>
        <v>-1.6274262921583209</v>
      </c>
    </row>
    <row r="19" spans="1:15" x14ac:dyDescent="0.4">
      <c r="A19">
        <v>21</v>
      </c>
      <c r="B19">
        <v>6</v>
      </c>
      <c r="C19">
        <v>200</v>
      </c>
      <c r="D19" t="s">
        <v>327</v>
      </c>
      <c r="E19">
        <v>2587</v>
      </c>
      <c r="F19">
        <v>16</v>
      </c>
      <c r="G19">
        <v>70</v>
      </c>
      <c r="H19">
        <v>1</v>
      </c>
      <c r="I19" t="s">
        <v>17</v>
      </c>
      <c r="J19">
        <f t="shared" si="1"/>
        <v>0.3209353435276921</v>
      </c>
      <c r="K19">
        <f t="shared" si="2"/>
        <v>6.312846802050992E-2</v>
      </c>
      <c r="L19" t="e">
        <f t="shared" si="2"/>
        <v>#DIV/0!</v>
      </c>
      <c r="M19">
        <f t="shared" si="2"/>
        <v>-0.45333996697913481</v>
      </c>
      <c r="N19">
        <f t="shared" si="2"/>
        <v>0.15681724201407066</v>
      </c>
      <c r="O19">
        <f t="shared" si="2"/>
        <v>-1.6274262921583209</v>
      </c>
    </row>
    <row r="20" spans="1:15" x14ac:dyDescent="0.4">
      <c r="A20">
        <v>27</v>
      </c>
      <c r="B20">
        <v>4</v>
      </c>
      <c r="C20">
        <v>97</v>
      </c>
      <c r="D20" t="s">
        <v>328</v>
      </c>
      <c r="E20">
        <v>2130</v>
      </c>
      <c r="F20">
        <v>14.5</v>
      </c>
      <c r="G20">
        <v>70</v>
      </c>
      <c r="H20">
        <v>3</v>
      </c>
      <c r="I20" t="s">
        <v>18</v>
      </c>
      <c r="J20">
        <f t="shared" si="1"/>
        <v>-0.85632057097941794</v>
      </c>
      <c r="K20">
        <f t="shared" si="2"/>
        <v>-0.92593647294367265</v>
      </c>
      <c r="L20" t="e">
        <f t="shared" si="2"/>
        <v>#DIV/0!</v>
      </c>
      <c r="M20">
        <f t="shared" si="2"/>
        <v>-0.99367137090937796</v>
      </c>
      <c r="N20">
        <f t="shared" si="2"/>
        <v>-0.38780110285153069</v>
      </c>
      <c r="O20">
        <f t="shared" si="2"/>
        <v>-1.6274262921583209</v>
      </c>
    </row>
    <row r="21" spans="1:15" x14ac:dyDescent="0.4">
      <c r="A21">
        <v>26</v>
      </c>
      <c r="B21">
        <v>4</v>
      </c>
      <c r="C21">
        <v>97</v>
      </c>
      <c r="D21" t="s">
        <v>329</v>
      </c>
      <c r="E21">
        <v>1835</v>
      </c>
      <c r="F21">
        <v>20.5</v>
      </c>
      <c r="G21">
        <v>70</v>
      </c>
      <c r="H21">
        <v>2</v>
      </c>
      <c r="I21" t="s">
        <v>19</v>
      </c>
      <c r="J21">
        <f t="shared" si="1"/>
        <v>-0.85632057097941794</v>
      </c>
      <c r="K21">
        <f t="shared" si="2"/>
        <v>-0.92593647294367265</v>
      </c>
      <c r="L21" t="e">
        <f t="shared" si="2"/>
        <v>#DIV/0!</v>
      </c>
      <c r="M21">
        <f t="shared" si="2"/>
        <v>-1.3424629773851366</v>
      </c>
      <c r="N21">
        <f t="shared" si="2"/>
        <v>1.7906722766108747</v>
      </c>
      <c r="O21">
        <f t="shared" si="2"/>
        <v>-1.6274262921583209</v>
      </c>
    </row>
    <row r="22" spans="1:15" x14ac:dyDescent="0.4">
      <c r="A22">
        <v>25</v>
      </c>
      <c r="B22">
        <v>4</v>
      </c>
      <c r="C22">
        <v>110</v>
      </c>
      <c r="D22" t="s">
        <v>330</v>
      </c>
      <c r="E22">
        <v>2672</v>
      </c>
      <c r="F22">
        <v>17.5</v>
      </c>
      <c r="G22">
        <v>70</v>
      </c>
      <c r="H22">
        <v>2</v>
      </c>
      <c r="I22" t="s">
        <v>20</v>
      </c>
      <c r="J22">
        <f t="shared" si="1"/>
        <v>-0.85632057097941794</v>
      </c>
      <c r="K22">
        <f t="shared" si="2"/>
        <v>-0.80110303379285352</v>
      </c>
      <c r="L22" t="e">
        <f t="shared" si="2"/>
        <v>#DIV/0!</v>
      </c>
      <c r="M22">
        <f t="shared" si="2"/>
        <v>-0.35284069053696704</v>
      </c>
      <c r="N22">
        <f t="shared" si="2"/>
        <v>0.701435586879672</v>
      </c>
      <c r="O22">
        <f t="shared" si="2"/>
        <v>-1.6274262921583209</v>
      </c>
    </row>
    <row r="23" spans="1:15" x14ac:dyDescent="0.4">
      <c r="A23">
        <v>24</v>
      </c>
      <c r="B23">
        <v>4</v>
      </c>
      <c r="C23">
        <v>107</v>
      </c>
      <c r="D23" t="s">
        <v>331</v>
      </c>
      <c r="E23">
        <v>2430</v>
      </c>
      <c r="F23">
        <v>14.5</v>
      </c>
      <c r="G23">
        <v>70</v>
      </c>
      <c r="H23">
        <v>2</v>
      </c>
      <c r="I23" t="s">
        <v>21</v>
      </c>
      <c r="J23">
        <f t="shared" si="1"/>
        <v>-0.85632057097941794</v>
      </c>
      <c r="K23">
        <f t="shared" si="2"/>
        <v>-0.82991075051996555</v>
      </c>
      <c r="L23" t="e">
        <f t="shared" si="2"/>
        <v>#DIV/0!</v>
      </c>
      <c r="M23">
        <f t="shared" si="2"/>
        <v>-0.63896804228996229</v>
      </c>
      <c r="N23">
        <f t="shared" si="2"/>
        <v>-0.38780110285153069</v>
      </c>
      <c r="O23">
        <f t="shared" si="2"/>
        <v>-1.6274262921583209</v>
      </c>
    </row>
    <row r="24" spans="1:15" x14ac:dyDescent="0.4">
      <c r="A24">
        <v>25</v>
      </c>
      <c r="B24">
        <v>4</v>
      </c>
      <c r="C24">
        <v>104</v>
      </c>
      <c r="D24" t="s">
        <v>325</v>
      </c>
      <c r="E24">
        <v>2375</v>
      </c>
      <c r="F24">
        <v>17.5</v>
      </c>
      <c r="G24">
        <v>70</v>
      </c>
      <c r="H24">
        <v>2</v>
      </c>
      <c r="I24" t="s">
        <v>22</v>
      </c>
      <c r="J24">
        <f t="shared" si="1"/>
        <v>-0.85632057097941794</v>
      </c>
      <c r="K24">
        <f t="shared" si="2"/>
        <v>-0.85871846724707768</v>
      </c>
      <c r="L24" t="e">
        <f t="shared" si="2"/>
        <v>#DIV/0!</v>
      </c>
      <c r="M24">
        <f t="shared" si="2"/>
        <v>-0.70399698587018855</v>
      </c>
      <c r="N24">
        <f t="shared" si="2"/>
        <v>0.701435586879672</v>
      </c>
      <c r="O24">
        <f t="shared" si="2"/>
        <v>-1.6274262921583209</v>
      </c>
    </row>
    <row r="25" spans="1:15" x14ac:dyDescent="0.4">
      <c r="A25">
        <v>26</v>
      </c>
      <c r="B25">
        <v>4</v>
      </c>
      <c r="C25">
        <v>121</v>
      </c>
      <c r="D25" t="s">
        <v>332</v>
      </c>
      <c r="E25">
        <v>2234</v>
      </c>
      <c r="F25">
        <v>12.5</v>
      </c>
      <c r="G25">
        <v>70</v>
      </c>
      <c r="H25">
        <v>2</v>
      </c>
      <c r="I25" t="s">
        <v>23</v>
      </c>
      <c r="J25">
        <f t="shared" si="1"/>
        <v>-0.85632057097941794</v>
      </c>
      <c r="K25">
        <f t="shared" si="2"/>
        <v>-0.69547473912677571</v>
      </c>
      <c r="L25" t="e">
        <f t="shared" si="2"/>
        <v>#DIV/0!</v>
      </c>
      <c r="M25">
        <f t="shared" si="2"/>
        <v>-0.87070755032131386</v>
      </c>
      <c r="N25">
        <f t="shared" si="2"/>
        <v>-1.1139588960056659</v>
      </c>
      <c r="O25">
        <f t="shared" si="2"/>
        <v>-1.6274262921583209</v>
      </c>
    </row>
    <row r="26" spans="1:15" x14ac:dyDescent="0.4">
      <c r="A26">
        <v>21</v>
      </c>
      <c r="B26">
        <v>6</v>
      </c>
      <c r="C26">
        <v>199</v>
      </c>
      <c r="D26" t="s">
        <v>331</v>
      </c>
      <c r="E26">
        <v>2648</v>
      </c>
      <c r="F26">
        <v>15</v>
      </c>
      <c r="G26">
        <v>70</v>
      </c>
      <c r="H26">
        <v>1</v>
      </c>
      <c r="I26" t="s">
        <v>24</v>
      </c>
      <c r="J26">
        <f t="shared" si="1"/>
        <v>0.3209353435276921</v>
      </c>
      <c r="K26">
        <f t="shared" si="2"/>
        <v>5.352589577813921E-2</v>
      </c>
      <c r="L26" t="e">
        <f t="shared" si="2"/>
        <v>#DIV/0!</v>
      </c>
      <c r="M26">
        <f t="shared" si="2"/>
        <v>-0.38121695682652029</v>
      </c>
      <c r="N26">
        <f t="shared" si="2"/>
        <v>-0.20626165456299692</v>
      </c>
      <c r="O26">
        <f t="shared" si="2"/>
        <v>-1.6274262921583209</v>
      </c>
    </row>
    <row r="27" spans="1:15" x14ac:dyDescent="0.4">
      <c r="A27">
        <v>10</v>
      </c>
      <c r="B27">
        <v>8</v>
      </c>
      <c r="C27">
        <v>360</v>
      </c>
      <c r="D27" t="s">
        <v>320</v>
      </c>
      <c r="E27">
        <v>4615</v>
      </c>
      <c r="F27">
        <v>14</v>
      </c>
      <c r="G27">
        <v>70</v>
      </c>
      <c r="H27">
        <v>1</v>
      </c>
      <c r="I27" t="s">
        <v>25</v>
      </c>
      <c r="J27">
        <f t="shared" si="1"/>
        <v>1.498191258034802</v>
      </c>
      <c r="K27">
        <f t="shared" si="2"/>
        <v>1.5995400267998225</v>
      </c>
      <c r="L27" t="e">
        <f t="shared" si="2"/>
        <v>#DIV/0!</v>
      </c>
      <c r="M27">
        <f t="shared" si="2"/>
        <v>1.9444545344881146</v>
      </c>
      <c r="N27">
        <f t="shared" si="2"/>
        <v>-0.56934055114006443</v>
      </c>
      <c r="O27">
        <f t="shared" si="2"/>
        <v>-1.6274262921583209</v>
      </c>
    </row>
    <row r="28" spans="1:15" x14ac:dyDescent="0.4">
      <c r="A28">
        <v>10</v>
      </c>
      <c r="B28">
        <v>8</v>
      </c>
      <c r="C28">
        <v>307</v>
      </c>
      <c r="D28" t="s">
        <v>333</v>
      </c>
      <c r="E28">
        <v>4376</v>
      </c>
      <c r="F28">
        <v>15</v>
      </c>
      <c r="G28">
        <v>70</v>
      </c>
      <c r="H28">
        <v>1</v>
      </c>
      <c r="I28" t="s">
        <v>26</v>
      </c>
      <c r="J28">
        <f t="shared" si="1"/>
        <v>1.498191258034802</v>
      </c>
      <c r="K28">
        <f t="shared" si="2"/>
        <v>1.0906036979541753</v>
      </c>
      <c r="L28" t="e">
        <f t="shared" si="2"/>
        <v>#DIV/0!</v>
      </c>
      <c r="M28">
        <f t="shared" si="2"/>
        <v>1.6618742160213136</v>
      </c>
      <c r="N28">
        <f t="shared" si="2"/>
        <v>-0.20626165456299692</v>
      </c>
      <c r="O28">
        <f t="shared" si="2"/>
        <v>-1.6274262921583209</v>
      </c>
    </row>
    <row r="29" spans="1:15" x14ac:dyDescent="0.4">
      <c r="A29">
        <v>11</v>
      </c>
      <c r="B29">
        <v>8</v>
      </c>
      <c r="C29">
        <v>318</v>
      </c>
      <c r="D29" t="s">
        <v>334</v>
      </c>
      <c r="E29">
        <v>4382</v>
      </c>
      <c r="F29">
        <v>13.5</v>
      </c>
      <c r="G29">
        <v>70</v>
      </c>
      <c r="H29">
        <v>1</v>
      </c>
      <c r="I29" t="s">
        <v>27</v>
      </c>
      <c r="J29">
        <f t="shared" si="1"/>
        <v>1.498191258034802</v>
      </c>
      <c r="K29">
        <f t="shared" si="2"/>
        <v>1.1962319926202531</v>
      </c>
      <c r="L29" t="e">
        <f t="shared" si="2"/>
        <v>#DIV/0!</v>
      </c>
      <c r="M29">
        <f t="shared" si="2"/>
        <v>1.6689682825937018</v>
      </c>
      <c r="N29">
        <f t="shared" si="2"/>
        <v>-0.75087999942859829</v>
      </c>
      <c r="O29">
        <f t="shared" si="2"/>
        <v>-1.6274262921583209</v>
      </c>
    </row>
    <row r="30" spans="1:15" x14ac:dyDescent="0.4">
      <c r="A30">
        <v>9</v>
      </c>
      <c r="B30">
        <v>8</v>
      </c>
      <c r="C30">
        <v>304</v>
      </c>
      <c r="D30" t="s">
        <v>335</v>
      </c>
      <c r="E30">
        <v>4732</v>
      </c>
      <c r="F30">
        <v>18.5</v>
      </c>
      <c r="G30">
        <v>70</v>
      </c>
      <c r="H30">
        <v>1</v>
      </c>
      <c r="I30" t="s">
        <v>28</v>
      </c>
      <c r="J30">
        <f t="shared" si="1"/>
        <v>1.498191258034802</v>
      </c>
      <c r="K30">
        <f t="shared" si="2"/>
        <v>1.0617959812270632</v>
      </c>
      <c r="L30" t="e">
        <f t="shared" si="2"/>
        <v>#DIV/0!</v>
      </c>
      <c r="M30">
        <f t="shared" si="2"/>
        <v>2.0827888326496868</v>
      </c>
      <c r="N30">
        <f t="shared" si="2"/>
        <v>1.0645144834567395</v>
      </c>
      <c r="O30">
        <f t="shared" si="2"/>
        <v>-1.6274262921583209</v>
      </c>
    </row>
    <row r="31" spans="1:15" x14ac:dyDescent="0.4">
      <c r="A31">
        <v>27</v>
      </c>
      <c r="B31">
        <v>4</v>
      </c>
      <c r="C31">
        <v>97</v>
      </c>
      <c r="D31" t="s">
        <v>328</v>
      </c>
      <c r="E31">
        <v>2130</v>
      </c>
      <c r="F31">
        <v>14.5</v>
      </c>
      <c r="G31">
        <v>71</v>
      </c>
      <c r="H31">
        <v>3</v>
      </c>
      <c r="I31" t="s">
        <v>18</v>
      </c>
      <c r="J31">
        <f t="shared" si="1"/>
        <v>-0.85632057097941794</v>
      </c>
      <c r="K31">
        <f t="shared" si="2"/>
        <v>-0.92593647294367265</v>
      </c>
      <c r="L31" t="e">
        <f t="shared" si="2"/>
        <v>#DIV/0!</v>
      </c>
      <c r="M31">
        <f t="shared" si="2"/>
        <v>-0.99367137090937796</v>
      </c>
      <c r="N31">
        <f t="shared" si="2"/>
        <v>-0.38780110285153069</v>
      </c>
      <c r="O31">
        <f t="shared" si="2"/>
        <v>-1.3566421515734501</v>
      </c>
    </row>
    <row r="32" spans="1:15" x14ac:dyDescent="0.4">
      <c r="A32">
        <v>28</v>
      </c>
      <c r="B32">
        <v>4</v>
      </c>
      <c r="C32">
        <v>140</v>
      </c>
      <c r="D32" t="s">
        <v>331</v>
      </c>
      <c r="E32">
        <v>2264</v>
      </c>
      <c r="F32">
        <v>15.5</v>
      </c>
      <c r="G32">
        <v>71</v>
      </c>
      <c r="H32">
        <v>1</v>
      </c>
      <c r="I32" t="s">
        <v>29</v>
      </c>
      <c r="J32">
        <f t="shared" si="1"/>
        <v>-0.85632057097941794</v>
      </c>
      <c r="K32">
        <f t="shared" si="2"/>
        <v>-0.51302586652173232</v>
      </c>
      <c r="L32" t="e">
        <f t="shared" si="2"/>
        <v>#DIV/0!</v>
      </c>
      <c r="M32">
        <f t="shared" si="2"/>
        <v>-0.83523721745937229</v>
      </c>
      <c r="N32">
        <f t="shared" si="2"/>
        <v>-2.4722206274463136E-2</v>
      </c>
      <c r="O32">
        <f t="shared" si="2"/>
        <v>-1.3566421515734501</v>
      </c>
    </row>
    <row r="33" spans="1:15" x14ac:dyDescent="0.4">
      <c r="A33">
        <v>25</v>
      </c>
      <c r="B33">
        <v>4</v>
      </c>
      <c r="C33">
        <v>113</v>
      </c>
      <c r="D33" t="s">
        <v>325</v>
      </c>
      <c r="E33">
        <v>2228</v>
      </c>
      <c r="F33">
        <v>14</v>
      </c>
      <c r="G33">
        <v>71</v>
      </c>
      <c r="H33">
        <v>3</v>
      </c>
      <c r="I33" t="s">
        <v>30</v>
      </c>
      <c r="J33">
        <f t="shared" si="1"/>
        <v>-0.85632057097941794</v>
      </c>
      <c r="K33">
        <f t="shared" si="2"/>
        <v>-0.77229531706574139</v>
      </c>
      <c r="L33" t="e">
        <f t="shared" si="2"/>
        <v>#DIV/0!</v>
      </c>
      <c r="M33">
        <f t="shared" si="2"/>
        <v>-0.87780161689370217</v>
      </c>
      <c r="N33">
        <f t="shared" si="2"/>
        <v>-0.56934055114006443</v>
      </c>
      <c r="O33">
        <f t="shared" si="2"/>
        <v>-1.3566421515734501</v>
      </c>
    </row>
    <row r="34" spans="1:15" x14ac:dyDescent="0.4">
      <c r="A34">
        <v>25</v>
      </c>
      <c r="B34">
        <v>4</v>
      </c>
      <c r="C34">
        <v>98</v>
      </c>
      <c r="D34" t="s">
        <v>336</v>
      </c>
      <c r="E34">
        <v>2046</v>
      </c>
      <c r="F34">
        <v>19</v>
      </c>
      <c r="G34">
        <v>71</v>
      </c>
      <c r="H34">
        <v>1</v>
      </c>
      <c r="I34" t="s">
        <v>31</v>
      </c>
      <c r="J34">
        <f t="shared" si="1"/>
        <v>-0.85632057097941794</v>
      </c>
      <c r="K34">
        <f t="shared" si="2"/>
        <v>-0.91633390070130194</v>
      </c>
      <c r="L34" t="e">
        <f t="shared" si="2"/>
        <v>#VALUE!</v>
      </c>
      <c r="M34">
        <f t="shared" si="2"/>
        <v>-1.0929883029228142</v>
      </c>
      <c r="N34">
        <f t="shared" si="2"/>
        <v>1.2460539317452732</v>
      </c>
      <c r="O34">
        <f t="shared" si="2"/>
        <v>-1.3566421515734501</v>
      </c>
    </row>
    <row r="35" spans="1:15" x14ac:dyDescent="0.4">
      <c r="A35">
        <v>19</v>
      </c>
      <c r="B35">
        <v>6</v>
      </c>
      <c r="C35">
        <v>232</v>
      </c>
      <c r="D35" t="s">
        <v>337</v>
      </c>
      <c r="E35">
        <v>2634</v>
      </c>
      <c r="F35">
        <v>13</v>
      </c>
      <c r="G35">
        <v>71</v>
      </c>
      <c r="H35">
        <v>1</v>
      </c>
      <c r="I35" t="s">
        <v>24</v>
      </c>
      <c r="J35">
        <f t="shared" si="1"/>
        <v>0.3209353435276921</v>
      </c>
      <c r="K35">
        <f t="shared" si="2"/>
        <v>0.37041077977637243</v>
      </c>
      <c r="L35" t="e">
        <f t="shared" si="2"/>
        <v>#DIV/0!</v>
      </c>
      <c r="M35">
        <f t="shared" si="2"/>
        <v>-0.39776977882875969</v>
      </c>
      <c r="N35">
        <f t="shared" si="2"/>
        <v>-0.93241944771713203</v>
      </c>
      <c r="O35">
        <f t="shared" si="2"/>
        <v>-1.3566421515734501</v>
      </c>
    </row>
    <row r="36" spans="1:15" x14ac:dyDescent="0.4">
      <c r="A36">
        <v>16</v>
      </c>
      <c r="B36">
        <v>6</v>
      </c>
      <c r="C36">
        <v>225</v>
      </c>
      <c r="D36" t="s">
        <v>338</v>
      </c>
      <c r="E36">
        <v>3439</v>
      </c>
      <c r="F36">
        <v>15.5</v>
      </c>
      <c r="G36">
        <v>71</v>
      </c>
      <c r="H36">
        <v>1</v>
      </c>
      <c r="I36" t="s">
        <v>32</v>
      </c>
      <c r="J36">
        <f t="shared" si="1"/>
        <v>0.3209353435276921</v>
      </c>
      <c r="K36">
        <f t="shared" si="2"/>
        <v>0.30319277407977752</v>
      </c>
      <c r="L36" t="e">
        <f t="shared" si="2"/>
        <v>#DIV/0!</v>
      </c>
      <c r="M36">
        <f t="shared" si="2"/>
        <v>0.55401748630000547</v>
      </c>
      <c r="N36">
        <f t="shared" si="2"/>
        <v>-2.4722206274463136E-2</v>
      </c>
      <c r="O36">
        <f t="shared" si="2"/>
        <v>-1.3566421515734501</v>
      </c>
    </row>
    <row r="37" spans="1:15" x14ac:dyDescent="0.4">
      <c r="A37">
        <v>17</v>
      </c>
      <c r="B37">
        <v>6</v>
      </c>
      <c r="C37">
        <v>250</v>
      </c>
      <c r="D37" t="s">
        <v>337</v>
      </c>
      <c r="E37">
        <v>3329</v>
      </c>
      <c r="F37">
        <v>15.5</v>
      </c>
      <c r="G37">
        <v>71</v>
      </c>
      <c r="H37">
        <v>1</v>
      </c>
      <c r="I37" t="s">
        <v>0</v>
      </c>
      <c r="J37">
        <f t="shared" si="1"/>
        <v>0.3209353435276921</v>
      </c>
      <c r="K37">
        <f t="shared" si="2"/>
        <v>0.54325708013904517</v>
      </c>
      <c r="L37" t="e">
        <f t="shared" si="2"/>
        <v>#DIV/0!</v>
      </c>
      <c r="M37">
        <f t="shared" si="2"/>
        <v>0.42395959913955311</v>
      </c>
      <c r="N37">
        <f t="shared" si="2"/>
        <v>-2.4722206274463136E-2</v>
      </c>
      <c r="O37">
        <f t="shared" si="2"/>
        <v>-1.3566421515734501</v>
      </c>
    </row>
    <row r="38" spans="1:15" x14ac:dyDescent="0.4">
      <c r="A38">
        <v>19</v>
      </c>
      <c r="B38">
        <v>6</v>
      </c>
      <c r="C38">
        <v>250</v>
      </c>
      <c r="D38" t="s">
        <v>328</v>
      </c>
      <c r="E38">
        <v>3302</v>
      </c>
      <c r="F38">
        <v>15.5</v>
      </c>
      <c r="G38">
        <v>71</v>
      </c>
      <c r="H38">
        <v>1</v>
      </c>
      <c r="I38" t="s">
        <v>33</v>
      </c>
      <c r="J38">
        <f t="shared" si="1"/>
        <v>0.3209353435276921</v>
      </c>
      <c r="K38">
        <f t="shared" si="2"/>
        <v>0.54325708013904517</v>
      </c>
      <c r="L38" t="e">
        <f t="shared" si="2"/>
        <v>#DIV/0!</v>
      </c>
      <c r="M38">
        <f t="shared" si="2"/>
        <v>0.3920362995638057</v>
      </c>
      <c r="N38">
        <f t="shared" si="2"/>
        <v>-2.4722206274463136E-2</v>
      </c>
      <c r="O38">
        <f t="shared" si="2"/>
        <v>-1.3566421515734501</v>
      </c>
    </row>
    <row r="39" spans="1:15" x14ac:dyDescent="0.4">
      <c r="A39">
        <v>18</v>
      </c>
      <c r="B39">
        <v>6</v>
      </c>
      <c r="C39">
        <v>232</v>
      </c>
      <c r="D39" t="s">
        <v>337</v>
      </c>
      <c r="E39">
        <v>3288</v>
      </c>
      <c r="F39">
        <v>15.5</v>
      </c>
      <c r="G39">
        <v>71</v>
      </c>
      <c r="H39">
        <v>1</v>
      </c>
      <c r="I39" t="s">
        <v>34</v>
      </c>
      <c r="J39">
        <f t="shared" si="1"/>
        <v>0.3209353435276921</v>
      </c>
      <c r="K39">
        <f t="shared" si="2"/>
        <v>0.37041077977637243</v>
      </c>
      <c r="L39" t="e">
        <f t="shared" si="2"/>
        <v>#DIV/0!</v>
      </c>
      <c r="M39">
        <f t="shared" si="2"/>
        <v>0.3754834775615663</v>
      </c>
      <c r="N39">
        <f t="shared" si="2"/>
        <v>-2.4722206274463136E-2</v>
      </c>
      <c r="O39">
        <f t="shared" si="2"/>
        <v>-1.3566421515734501</v>
      </c>
    </row>
    <row r="40" spans="1:15" x14ac:dyDescent="0.4">
      <c r="A40">
        <v>14</v>
      </c>
      <c r="B40">
        <v>8</v>
      </c>
      <c r="C40">
        <v>350</v>
      </c>
      <c r="D40" t="s">
        <v>315</v>
      </c>
      <c r="E40">
        <v>4209</v>
      </c>
      <c r="F40">
        <v>12</v>
      </c>
      <c r="G40">
        <v>71</v>
      </c>
      <c r="H40">
        <v>1</v>
      </c>
      <c r="I40" t="s">
        <v>6</v>
      </c>
      <c r="J40">
        <f t="shared" si="1"/>
        <v>1.498191258034802</v>
      </c>
      <c r="K40">
        <f t="shared" si="2"/>
        <v>1.5035143043761157</v>
      </c>
      <c r="L40" t="e">
        <f t="shared" si="2"/>
        <v>#DIV/0!</v>
      </c>
      <c r="M40">
        <f t="shared" si="2"/>
        <v>1.4644226964231721</v>
      </c>
      <c r="N40">
        <f t="shared" si="2"/>
        <v>-1.2954983442941996</v>
      </c>
      <c r="O40">
        <f t="shared" si="2"/>
        <v>-1.3566421515734501</v>
      </c>
    </row>
    <row r="41" spans="1:15" x14ac:dyDescent="0.4">
      <c r="A41">
        <v>14</v>
      </c>
      <c r="B41">
        <v>8</v>
      </c>
      <c r="C41">
        <v>400</v>
      </c>
      <c r="D41" t="s">
        <v>339</v>
      </c>
      <c r="E41">
        <v>4464</v>
      </c>
      <c r="F41">
        <v>11.5</v>
      </c>
      <c r="G41">
        <v>71</v>
      </c>
      <c r="H41">
        <v>1</v>
      </c>
      <c r="I41" t="s">
        <v>35</v>
      </c>
      <c r="J41">
        <f t="shared" si="1"/>
        <v>1.498191258034802</v>
      </c>
      <c r="K41">
        <f t="shared" si="2"/>
        <v>1.9836429164946507</v>
      </c>
      <c r="L41" t="e">
        <f t="shared" si="2"/>
        <v>#DIV/0!</v>
      </c>
      <c r="M41">
        <f t="shared" si="2"/>
        <v>1.7659205257496755</v>
      </c>
      <c r="N41">
        <f t="shared" si="2"/>
        <v>-1.4770377925827334</v>
      </c>
      <c r="O41">
        <f t="shared" si="2"/>
        <v>-1.3566421515734501</v>
      </c>
    </row>
    <row r="42" spans="1:15" x14ac:dyDescent="0.4">
      <c r="A42">
        <v>14</v>
      </c>
      <c r="B42">
        <v>8</v>
      </c>
      <c r="C42">
        <v>351</v>
      </c>
      <c r="D42" t="s">
        <v>340</v>
      </c>
      <c r="E42">
        <v>4154</v>
      </c>
      <c r="F42">
        <v>13.5</v>
      </c>
      <c r="G42">
        <v>71</v>
      </c>
      <c r="H42">
        <v>1</v>
      </c>
      <c r="I42" t="s">
        <v>5</v>
      </c>
      <c r="J42">
        <f t="shared" si="1"/>
        <v>1.498191258034802</v>
      </c>
      <c r="K42">
        <f t="shared" si="2"/>
        <v>1.5131168766184864</v>
      </c>
      <c r="L42" t="e">
        <f t="shared" si="2"/>
        <v>#DIV/0!</v>
      </c>
      <c r="M42">
        <f t="shared" si="2"/>
        <v>1.3993937528429461</v>
      </c>
      <c r="N42">
        <f t="shared" si="2"/>
        <v>-0.75087999942859829</v>
      </c>
      <c r="O42">
        <f t="shared" si="2"/>
        <v>-1.3566421515734501</v>
      </c>
    </row>
    <row r="43" spans="1:15" x14ac:dyDescent="0.4">
      <c r="A43">
        <v>14</v>
      </c>
      <c r="B43">
        <v>8</v>
      </c>
      <c r="C43">
        <v>318</v>
      </c>
      <c r="D43" t="s">
        <v>316</v>
      </c>
      <c r="E43">
        <v>4096</v>
      </c>
      <c r="F43">
        <v>13</v>
      </c>
      <c r="G43">
        <v>71</v>
      </c>
      <c r="H43">
        <v>1</v>
      </c>
      <c r="I43" t="s">
        <v>7</v>
      </c>
      <c r="J43">
        <f t="shared" si="1"/>
        <v>1.498191258034802</v>
      </c>
      <c r="K43">
        <f t="shared" si="2"/>
        <v>1.1962319926202531</v>
      </c>
      <c r="L43" t="e">
        <f t="shared" si="2"/>
        <v>#DIV/0!</v>
      </c>
      <c r="M43">
        <f t="shared" si="2"/>
        <v>1.3308177759765256</v>
      </c>
      <c r="N43">
        <f t="shared" si="2"/>
        <v>-0.93241944771713203</v>
      </c>
      <c r="O43">
        <f t="shared" si="2"/>
        <v>-1.3566421515734501</v>
      </c>
    </row>
    <row r="44" spans="1:15" x14ac:dyDescent="0.4">
      <c r="A44">
        <v>12</v>
      </c>
      <c r="B44">
        <v>8</v>
      </c>
      <c r="C44">
        <v>383</v>
      </c>
      <c r="D44" t="s">
        <v>341</v>
      </c>
      <c r="E44">
        <v>4955</v>
      </c>
      <c r="F44">
        <v>11.5</v>
      </c>
      <c r="G44">
        <v>71</v>
      </c>
      <c r="H44">
        <v>1</v>
      </c>
      <c r="I44" t="s">
        <v>36</v>
      </c>
      <c r="J44">
        <f t="shared" si="1"/>
        <v>1.498191258034802</v>
      </c>
      <c r="K44">
        <f t="shared" si="2"/>
        <v>1.8203991883743489</v>
      </c>
      <c r="L44" t="e">
        <f t="shared" si="2"/>
        <v>#DIV/0!</v>
      </c>
      <c r="M44">
        <f t="shared" si="2"/>
        <v>2.3464516402567859</v>
      </c>
      <c r="N44">
        <f t="shared" si="2"/>
        <v>-1.4770377925827334</v>
      </c>
      <c r="O44">
        <f t="shared" si="2"/>
        <v>-1.3566421515734501</v>
      </c>
    </row>
    <row r="45" spans="1:15" x14ac:dyDescent="0.4">
      <c r="A45">
        <v>13</v>
      </c>
      <c r="B45">
        <v>8</v>
      </c>
      <c r="C45">
        <v>400</v>
      </c>
      <c r="D45" t="s">
        <v>323</v>
      </c>
      <c r="E45">
        <v>4746</v>
      </c>
      <c r="F45">
        <v>12</v>
      </c>
      <c r="G45">
        <v>71</v>
      </c>
      <c r="H45">
        <v>1</v>
      </c>
      <c r="I45" t="s">
        <v>37</v>
      </c>
      <c r="J45">
        <f t="shared" si="1"/>
        <v>1.498191258034802</v>
      </c>
      <c r="K45">
        <f t="shared" si="2"/>
        <v>1.9836429164946507</v>
      </c>
      <c r="L45" t="e">
        <f t="shared" si="2"/>
        <v>#DIV/0!</v>
      </c>
      <c r="M45">
        <f t="shared" si="2"/>
        <v>2.0993416546519263</v>
      </c>
      <c r="N45">
        <f t="shared" si="2"/>
        <v>-1.2954983442941996</v>
      </c>
      <c r="O45">
        <f t="shared" si="2"/>
        <v>-1.3566421515734501</v>
      </c>
    </row>
    <row r="46" spans="1:15" x14ac:dyDescent="0.4">
      <c r="A46">
        <v>13</v>
      </c>
      <c r="B46">
        <v>8</v>
      </c>
      <c r="C46">
        <v>400</v>
      </c>
      <c r="D46" t="s">
        <v>339</v>
      </c>
      <c r="E46">
        <v>5140</v>
      </c>
      <c r="F46">
        <v>12</v>
      </c>
      <c r="G46">
        <v>71</v>
      </c>
      <c r="H46">
        <v>1</v>
      </c>
      <c r="I46" t="s">
        <v>38</v>
      </c>
      <c r="J46">
        <f t="shared" si="1"/>
        <v>1.498191258034802</v>
      </c>
      <c r="K46">
        <f t="shared" si="2"/>
        <v>1.9836429164946507</v>
      </c>
      <c r="L46" t="e">
        <f t="shared" si="2"/>
        <v>#DIV/0!</v>
      </c>
      <c r="M46">
        <f t="shared" si="2"/>
        <v>2.5651853595720921</v>
      </c>
      <c r="N46">
        <f t="shared" si="2"/>
        <v>-1.2954983442941996</v>
      </c>
      <c r="O46">
        <f t="shared" si="2"/>
        <v>-1.3566421515734501</v>
      </c>
    </row>
    <row r="47" spans="1:15" x14ac:dyDescent="0.4">
      <c r="A47">
        <v>18</v>
      </c>
      <c r="B47">
        <v>6</v>
      </c>
      <c r="C47">
        <v>258</v>
      </c>
      <c r="D47" t="s">
        <v>342</v>
      </c>
      <c r="E47">
        <v>2962</v>
      </c>
      <c r="F47">
        <v>13.5</v>
      </c>
      <c r="G47">
        <v>71</v>
      </c>
      <c r="H47">
        <v>1</v>
      </c>
      <c r="I47" t="s">
        <v>39</v>
      </c>
      <c r="J47">
        <f t="shared" si="1"/>
        <v>0.3209353435276921</v>
      </c>
      <c r="K47">
        <f t="shared" si="2"/>
        <v>0.62007765807801074</v>
      </c>
      <c r="L47" t="e">
        <f t="shared" si="2"/>
        <v>#DIV/0!</v>
      </c>
      <c r="M47">
        <f t="shared" si="2"/>
        <v>-9.9608062048653113E-3</v>
      </c>
      <c r="N47">
        <f t="shared" si="2"/>
        <v>-0.75087999942859829</v>
      </c>
      <c r="O47">
        <f t="shared" si="2"/>
        <v>-1.3566421515734501</v>
      </c>
    </row>
    <row r="48" spans="1:15" x14ac:dyDescent="0.4">
      <c r="A48">
        <v>22</v>
      </c>
      <c r="B48">
        <v>4</v>
      </c>
      <c r="C48">
        <v>140</v>
      </c>
      <c r="D48" t="s">
        <v>343</v>
      </c>
      <c r="E48">
        <v>2408</v>
      </c>
      <c r="F48">
        <v>19</v>
      </c>
      <c r="G48">
        <v>71</v>
      </c>
      <c r="H48">
        <v>1</v>
      </c>
      <c r="I48" t="s">
        <v>40</v>
      </c>
      <c r="J48">
        <f t="shared" si="1"/>
        <v>-0.85632057097941794</v>
      </c>
      <c r="K48">
        <f t="shared" si="2"/>
        <v>-0.51302586652173232</v>
      </c>
      <c r="L48" t="e">
        <f t="shared" si="2"/>
        <v>#DIV/0!</v>
      </c>
      <c r="M48">
        <f t="shared" si="2"/>
        <v>-0.66497961972205277</v>
      </c>
      <c r="N48">
        <f t="shared" si="2"/>
        <v>1.2460539317452732</v>
      </c>
      <c r="O48">
        <f t="shared" si="2"/>
        <v>-1.3566421515734501</v>
      </c>
    </row>
    <row r="49" spans="1:15" x14ac:dyDescent="0.4">
      <c r="A49">
        <v>19</v>
      </c>
      <c r="B49">
        <v>6</v>
      </c>
      <c r="C49">
        <v>250</v>
      </c>
      <c r="D49" t="s">
        <v>337</v>
      </c>
      <c r="E49">
        <v>3282</v>
      </c>
      <c r="F49">
        <v>15</v>
      </c>
      <c r="G49">
        <v>71</v>
      </c>
      <c r="H49">
        <v>1</v>
      </c>
      <c r="I49" t="s">
        <v>41</v>
      </c>
      <c r="J49">
        <f t="shared" si="1"/>
        <v>0.3209353435276921</v>
      </c>
      <c r="K49">
        <f t="shared" si="2"/>
        <v>0.54325708013904517</v>
      </c>
      <c r="L49" t="e">
        <f t="shared" si="2"/>
        <v>#DIV/0!</v>
      </c>
      <c r="M49">
        <f t="shared" si="2"/>
        <v>0.36838941098917799</v>
      </c>
      <c r="N49">
        <f t="shared" si="2"/>
        <v>-0.20626165456299692</v>
      </c>
      <c r="O49">
        <f t="shared" si="2"/>
        <v>-1.3566421515734501</v>
      </c>
    </row>
    <row r="50" spans="1:15" x14ac:dyDescent="0.4">
      <c r="A50">
        <v>18</v>
      </c>
      <c r="B50">
        <v>6</v>
      </c>
      <c r="C50">
        <v>250</v>
      </c>
      <c r="D50" t="s">
        <v>328</v>
      </c>
      <c r="E50">
        <v>3139</v>
      </c>
      <c r="F50">
        <v>14.5</v>
      </c>
      <c r="G50">
        <v>71</v>
      </c>
      <c r="H50">
        <v>1</v>
      </c>
      <c r="I50" t="s">
        <v>42</v>
      </c>
      <c r="J50">
        <f t="shared" si="1"/>
        <v>0.3209353435276921</v>
      </c>
      <c r="K50">
        <f t="shared" si="2"/>
        <v>0.54325708013904517</v>
      </c>
      <c r="L50" t="e">
        <f t="shared" si="2"/>
        <v>#DIV/0!</v>
      </c>
      <c r="M50">
        <f t="shared" si="2"/>
        <v>0.19931415768058988</v>
      </c>
      <c r="N50">
        <f t="shared" si="2"/>
        <v>-0.38780110285153069</v>
      </c>
      <c r="O50">
        <f t="shared" si="2"/>
        <v>-1.3566421515734501</v>
      </c>
    </row>
    <row r="51" spans="1:15" x14ac:dyDescent="0.4">
      <c r="A51">
        <v>23</v>
      </c>
      <c r="B51">
        <v>4</v>
      </c>
      <c r="C51">
        <v>122</v>
      </c>
      <c r="D51" t="s">
        <v>344</v>
      </c>
      <c r="E51">
        <v>2220</v>
      </c>
      <c r="F51">
        <v>14</v>
      </c>
      <c r="G51">
        <v>71</v>
      </c>
      <c r="H51">
        <v>1</v>
      </c>
      <c r="I51" t="s">
        <v>43</v>
      </c>
      <c r="J51">
        <f t="shared" si="1"/>
        <v>-0.85632057097941794</v>
      </c>
      <c r="K51">
        <f t="shared" si="2"/>
        <v>-0.685872166884405</v>
      </c>
      <c r="L51" t="e">
        <f t="shared" si="2"/>
        <v>#DIV/0!</v>
      </c>
      <c r="M51">
        <f t="shared" si="2"/>
        <v>-0.88726037232355326</v>
      </c>
      <c r="N51">
        <f t="shared" si="2"/>
        <v>-0.56934055114006443</v>
      </c>
      <c r="O51">
        <f t="shared" si="2"/>
        <v>-1.3566421515734501</v>
      </c>
    </row>
    <row r="52" spans="1:15" x14ac:dyDescent="0.4">
      <c r="A52">
        <v>28</v>
      </c>
      <c r="B52">
        <v>4</v>
      </c>
      <c r="C52">
        <v>116</v>
      </c>
      <c r="D52" t="s">
        <v>331</v>
      </c>
      <c r="E52">
        <v>2123</v>
      </c>
      <c r="F52">
        <v>14</v>
      </c>
      <c r="G52">
        <v>71</v>
      </c>
      <c r="H52">
        <v>2</v>
      </c>
      <c r="I52" t="s">
        <v>44</v>
      </c>
      <c r="J52">
        <f t="shared" si="1"/>
        <v>-0.85632057097941794</v>
      </c>
      <c r="K52">
        <f t="shared" si="2"/>
        <v>-0.74348760033862926</v>
      </c>
      <c r="L52" t="e">
        <f t="shared" si="2"/>
        <v>#DIV/0!</v>
      </c>
      <c r="M52">
        <f t="shared" si="2"/>
        <v>-1.0019477819104976</v>
      </c>
      <c r="N52">
        <f t="shared" si="2"/>
        <v>-0.56934055114006443</v>
      </c>
      <c r="O52">
        <f t="shared" si="2"/>
        <v>-1.3566421515734501</v>
      </c>
    </row>
    <row r="53" spans="1:15" x14ac:dyDescent="0.4">
      <c r="A53">
        <v>30</v>
      </c>
      <c r="B53">
        <v>4</v>
      </c>
      <c r="C53">
        <v>79</v>
      </c>
      <c r="D53" t="s">
        <v>345</v>
      </c>
      <c r="E53">
        <v>2074</v>
      </c>
      <c r="F53">
        <v>19.5</v>
      </c>
      <c r="G53">
        <v>71</v>
      </c>
      <c r="H53">
        <v>2</v>
      </c>
      <c r="I53" t="s">
        <v>45</v>
      </c>
      <c r="J53">
        <f t="shared" si="1"/>
        <v>-0.85632057097941794</v>
      </c>
      <c r="K53">
        <f t="shared" si="2"/>
        <v>-1.0987827733063453</v>
      </c>
      <c r="L53" t="e">
        <f t="shared" si="2"/>
        <v>#DIV/0!</v>
      </c>
      <c r="M53">
        <f t="shared" si="2"/>
        <v>-1.0598826589183354</v>
      </c>
      <c r="N53">
        <f t="shared" si="2"/>
        <v>1.4275933800338072</v>
      </c>
      <c r="O53">
        <f t="shared" si="2"/>
        <v>-1.3566421515734501</v>
      </c>
    </row>
    <row r="54" spans="1:15" x14ac:dyDescent="0.4">
      <c r="A54">
        <v>30</v>
      </c>
      <c r="B54">
        <v>4</v>
      </c>
      <c r="C54">
        <v>88</v>
      </c>
      <c r="D54" t="s">
        <v>346</v>
      </c>
      <c r="E54">
        <v>2065</v>
      </c>
      <c r="F54">
        <v>14.5</v>
      </c>
      <c r="G54">
        <v>71</v>
      </c>
      <c r="H54">
        <v>2</v>
      </c>
      <c r="I54" t="s">
        <v>46</v>
      </c>
      <c r="J54">
        <f t="shared" si="1"/>
        <v>-0.85632057097941794</v>
      </c>
      <c r="K54">
        <f t="shared" si="2"/>
        <v>-1.0123596231250089</v>
      </c>
      <c r="L54" t="e">
        <f t="shared" si="2"/>
        <v>#DIV/0!</v>
      </c>
      <c r="M54">
        <f t="shared" si="2"/>
        <v>-1.0705237587769179</v>
      </c>
      <c r="N54">
        <f t="shared" si="2"/>
        <v>-0.38780110285153069</v>
      </c>
      <c r="O54">
        <f t="shared" si="2"/>
        <v>-1.3566421515734501</v>
      </c>
    </row>
    <row r="55" spans="1:15" x14ac:dyDescent="0.4">
      <c r="A55">
        <v>31</v>
      </c>
      <c r="B55">
        <v>4</v>
      </c>
      <c r="C55">
        <v>71</v>
      </c>
      <c r="D55" t="s">
        <v>347</v>
      </c>
      <c r="E55">
        <v>1773</v>
      </c>
      <c r="F55">
        <v>19</v>
      </c>
      <c r="G55">
        <v>71</v>
      </c>
      <c r="H55">
        <v>3</v>
      </c>
      <c r="I55" t="s">
        <v>47</v>
      </c>
      <c r="J55">
        <f t="shared" si="1"/>
        <v>-0.85632057097941794</v>
      </c>
      <c r="K55">
        <f t="shared" si="2"/>
        <v>-1.175603351245311</v>
      </c>
      <c r="L55" t="e">
        <f t="shared" si="2"/>
        <v>#DIV/0!</v>
      </c>
      <c r="M55">
        <f t="shared" si="2"/>
        <v>-1.4157683319664824</v>
      </c>
      <c r="N55">
        <f t="shared" si="2"/>
        <v>1.2460539317452732</v>
      </c>
      <c r="O55">
        <f t="shared" si="2"/>
        <v>-1.3566421515734501</v>
      </c>
    </row>
    <row r="56" spans="1:15" x14ac:dyDescent="0.4">
      <c r="A56">
        <v>35</v>
      </c>
      <c r="B56">
        <v>4</v>
      </c>
      <c r="C56">
        <v>72</v>
      </c>
      <c r="D56" t="s">
        <v>348</v>
      </c>
      <c r="E56">
        <v>1613</v>
      </c>
      <c r="F56">
        <v>18</v>
      </c>
      <c r="G56">
        <v>71</v>
      </c>
      <c r="H56">
        <v>3</v>
      </c>
      <c r="I56" t="s">
        <v>48</v>
      </c>
      <c r="J56">
        <f t="shared" si="1"/>
        <v>-0.85632057097941794</v>
      </c>
      <c r="K56">
        <f t="shared" si="2"/>
        <v>-1.1660007790029403</v>
      </c>
      <c r="L56" t="e">
        <f t="shared" si="2"/>
        <v>#DIV/0!</v>
      </c>
      <c r="M56">
        <f t="shared" si="2"/>
        <v>-1.6049434405635041</v>
      </c>
      <c r="N56">
        <f t="shared" si="2"/>
        <v>0.88297503516820575</v>
      </c>
      <c r="O56">
        <f t="shared" si="2"/>
        <v>-1.3566421515734501</v>
      </c>
    </row>
    <row r="57" spans="1:15" x14ac:dyDescent="0.4">
      <c r="A57">
        <v>27</v>
      </c>
      <c r="B57">
        <v>4</v>
      </c>
      <c r="C57">
        <v>97</v>
      </c>
      <c r="D57" t="s">
        <v>349</v>
      </c>
      <c r="E57">
        <v>1834</v>
      </c>
      <c r="F57">
        <v>19</v>
      </c>
      <c r="G57">
        <v>71</v>
      </c>
      <c r="H57">
        <v>2</v>
      </c>
      <c r="I57" t="s">
        <v>49</v>
      </c>
      <c r="J57">
        <f t="shared" si="1"/>
        <v>-0.85632057097941794</v>
      </c>
      <c r="K57">
        <f t="shared" si="2"/>
        <v>-0.92593647294367265</v>
      </c>
      <c r="L57" t="e">
        <f t="shared" si="2"/>
        <v>#DIV/0!</v>
      </c>
      <c r="M57">
        <f t="shared" si="2"/>
        <v>-1.343645321813868</v>
      </c>
      <c r="N57">
        <f t="shared" si="2"/>
        <v>1.2460539317452732</v>
      </c>
      <c r="O57">
        <f t="shared" si="2"/>
        <v>-1.3566421515734501</v>
      </c>
    </row>
    <row r="58" spans="1:15" x14ac:dyDescent="0.4">
      <c r="A58">
        <v>26</v>
      </c>
      <c r="B58">
        <v>4</v>
      </c>
      <c r="C58">
        <v>91</v>
      </c>
      <c r="D58" t="s">
        <v>345</v>
      </c>
      <c r="E58">
        <v>1955</v>
      </c>
      <c r="F58">
        <v>20.5</v>
      </c>
      <c r="G58">
        <v>71</v>
      </c>
      <c r="H58">
        <v>1</v>
      </c>
      <c r="I58" t="s">
        <v>50</v>
      </c>
      <c r="J58">
        <f t="shared" si="1"/>
        <v>-0.85632057097941794</v>
      </c>
      <c r="K58">
        <f t="shared" si="2"/>
        <v>-0.98355190639789691</v>
      </c>
      <c r="L58" t="e">
        <f t="shared" si="2"/>
        <v>#DIV/0!</v>
      </c>
      <c r="M58">
        <f t="shared" si="2"/>
        <v>-1.2005816459373704</v>
      </c>
      <c r="N58">
        <f t="shared" si="2"/>
        <v>1.7906722766108747</v>
      </c>
      <c r="O58">
        <f t="shared" si="2"/>
        <v>-1.3566421515734501</v>
      </c>
    </row>
    <row r="59" spans="1:15" x14ac:dyDescent="0.4">
      <c r="A59">
        <v>24</v>
      </c>
      <c r="B59">
        <v>4</v>
      </c>
      <c r="C59">
        <v>113</v>
      </c>
      <c r="D59" t="s">
        <v>325</v>
      </c>
      <c r="E59">
        <v>2278</v>
      </c>
      <c r="F59">
        <v>15.5</v>
      </c>
      <c r="G59">
        <v>72</v>
      </c>
      <c r="H59">
        <v>3</v>
      </c>
      <c r="I59" t="s">
        <v>51</v>
      </c>
      <c r="J59">
        <f t="shared" si="1"/>
        <v>-0.85632057097941794</v>
      </c>
      <c r="K59">
        <f t="shared" si="2"/>
        <v>-0.77229531706574139</v>
      </c>
      <c r="L59" t="e">
        <f t="shared" si="2"/>
        <v>#DIV/0!</v>
      </c>
      <c r="M59">
        <f t="shared" si="2"/>
        <v>-0.8186843954571329</v>
      </c>
      <c r="N59">
        <f t="shared" si="2"/>
        <v>-2.4722206274463136E-2</v>
      </c>
      <c r="O59">
        <f t="shared" si="2"/>
        <v>-1.0858580109885791</v>
      </c>
    </row>
    <row r="60" spans="1:15" x14ac:dyDescent="0.4">
      <c r="A60">
        <v>25</v>
      </c>
      <c r="B60">
        <v>4</v>
      </c>
      <c r="C60">
        <v>97.5</v>
      </c>
      <c r="D60" t="s">
        <v>350</v>
      </c>
      <c r="E60">
        <v>2126</v>
      </c>
      <c r="F60">
        <v>17</v>
      </c>
      <c r="G60">
        <v>72</v>
      </c>
      <c r="H60">
        <v>1</v>
      </c>
      <c r="I60" t="s">
        <v>52</v>
      </c>
      <c r="J60">
        <f t="shared" si="1"/>
        <v>-0.85632057097941794</v>
      </c>
      <c r="K60">
        <f t="shared" si="2"/>
        <v>-0.9211351868224873</v>
      </c>
      <c r="L60" t="e">
        <f t="shared" si="2"/>
        <v>#DIV/0!</v>
      </c>
      <c r="M60">
        <f t="shared" si="2"/>
        <v>-0.9984007486243035</v>
      </c>
      <c r="N60">
        <f t="shared" si="2"/>
        <v>0.51989613859113826</v>
      </c>
      <c r="O60">
        <f t="shared" si="2"/>
        <v>-1.0858580109885791</v>
      </c>
    </row>
    <row r="61" spans="1:15" x14ac:dyDescent="0.4">
      <c r="A61">
        <v>23</v>
      </c>
      <c r="B61">
        <v>4</v>
      </c>
      <c r="C61">
        <v>97</v>
      </c>
      <c r="D61" t="s">
        <v>351</v>
      </c>
      <c r="E61">
        <v>2254</v>
      </c>
      <c r="F61">
        <v>23.5</v>
      </c>
      <c r="G61">
        <v>72</v>
      </c>
      <c r="H61">
        <v>2</v>
      </c>
      <c r="I61" t="s">
        <v>53</v>
      </c>
      <c r="J61">
        <f t="shared" si="1"/>
        <v>-0.85632057097941794</v>
      </c>
      <c r="K61">
        <f t="shared" si="2"/>
        <v>-0.92593647294367265</v>
      </c>
      <c r="L61" t="e">
        <f t="shared" si="2"/>
        <v>#DIV/0!</v>
      </c>
      <c r="M61">
        <f t="shared" si="2"/>
        <v>-0.84706066174668615</v>
      </c>
      <c r="N61">
        <f t="shared" si="2"/>
        <v>2.8799089663420774</v>
      </c>
      <c r="O61">
        <f t="shared" si="2"/>
        <v>-1.0858580109885791</v>
      </c>
    </row>
    <row r="62" spans="1:15" x14ac:dyDescent="0.4">
      <c r="A62">
        <v>20</v>
      </c>
      <c r="B62">
        <v>4</v>
      </c>
      <c r="C62">
        <v>140</v>
      </c>
      <c r="D62" t="s">
        <v>331</v>
      </c>
      <c r="E62">
        <v>2408</v>
      </c>
      <c r="F62">
        <v>19.5</v>
      </c>
      <c r="G62">
        <v>72</v>
      </c>
      <c r="H62">
        <v>1</v>
      </c>
      <c r="I62" t="s">
        <v>54</v>
      </c>
      <c r="J62">
        <f t="shared" si="1"/>
        <v>-0.85632057097941794</v>
      </c>
      <c r="K62">
        <f t="shared" si="2"/>
        <v>-0.51302586652173232</v>
      </c>
      <c r="L62" t="e">
        <f t="shared" si="2"/>
        <v>#DIV/0!</v>
      </c>
      <c r="M62">
        <f t="shared" si="2"/>
        <v>-0.66497961972205277</v>
      </c>
      <c r="N62">
        <f t="shared" si="2"/>
        <v>1.4275933800338072</v>
      </c>
      <c r="O62">
        <f t="shared" ref="O62:O125" si="3">(G62-U$2)/U$3</f>
        <v>-1.0858580109885791</v>
      </c>
    </row>
    <row r="63" spans="1:15" x14ac:dyDescent="0.4">
      <c r="A63">
        <v>21</v>
      </c>
      <c r="B63">
        <v>4</v>
      </c>
      <c r="C63">
        <v>122</v>
      </c>
      <c r="D63" t="s">
        <v>344</v>
      </c>
      <c r="E63">
        <v>2226</v>
      </c>
      <c r="F63">
        <v>16.5</v>
      </c>
      <c r="G63">
        <v>72</v>
      </c>
      <c r="H63">
        <v>1</v>
      </c>
      <c r="I63" t="s">
        <v>55</v>
      </c>
      <c r="J63">
        <f t="shared" si="1"/>
        <v>-0.85632057097941794</v>
      </c>
      <c r="K63">
        <f t="shared" si="2"/>
        <v>-0.685872166884405</v>
      </c>
      <c r="L63" t="e">
        <f t="shared" si="2"/>
        <v>#DIV/0!</v>
      </c>
      <c r="M63">
        <f t="shared" si="2"/>
        <v>-0.88016630575116495</v>
      </c>
      <c r="N63">
        <f t="shared" si="2"/>
        <v>0.3383566903026044</v>
      </c>
      <c r="O63">
        <f t="shared" si="3"/>
        <v>-1.0858580109885791</v>
      </c>
    </row>
    <row r="64" spans="1:15" x14ac:dyDescent="0.4">
      <c r="A64">
        <v>13</v>
      </c>
      <c r="B64">
        <v>8</v>
      </c>
      <c r="C64">
        <v>350</v>
      </c>
      <c r="D64" t="s">
        <v>315</v>
      </c>
      <c r="E64">
        <v>4274</v>
      </c>
      <c r="F64">
        <v>12</v>
      </c>
      <c r="G64">
        <v>72</v>
      </c>
      <c r="H64">
        <v>1</v>
      </c>
      <c r="I64" t="s">
        <v>6</v>
      </c>
      <c r="J64">
        <f t="shared" si="1"/>
        <v>1.498191258034802</v>
      </c>
      <c r="K64">
        <f t="shared" si="2"/>
        <v>1.5035143043761157</v>
      </c>
      <c r="L64" t="e">
        <f t="shared" si="2"/>
        <v>#DIV/0!</v>
      </c>
      <c r="M64">
        <f t="shared" si="2"/>
        <v>1.5412750842907124</v>
      </c>
      <c r="N64">
        <f t="shared" si="2"/>
        <v>-1.2954983442941996</v>
      </c>
      <c r="O64">
        <f t="shared" si="3"/>
        <v>-1.0858580109885791</v>
      </c>
    </row>
    <row r="65" spans="1:15" x14ac:dyDescent="0.4">
      <c r="A65">
        <v>14</v>
      </c>
      <c r="B65">
        <v>8</v>
      </c>
      <c r="C65">
        <v>400</v>
      </c>
      <c r="D65" t="s">
        <v>339</v>
      </c>
      <c r="E65">
        <v>4385</v>
      </c>
      <c r="F65">
        <v>12</v>
      </c>
      <c r="G65">
        <v>72</v>
      </c>
      <c r="H65">
        <v>1</v>
      </c>
      <c r="I65" t="s">
        <v>8</v>
      </c>
      <c r="J65">
        <f t="shared" si="1"/>
        <v>1.498191258034802</v>
      </c>
      <c r="K65">
        <f t="shared" si="2"/>
        <v>1.9836429164946507</v>
      </c>
      <c r="L65" t="e">
        <f t="shared" si="2"/>
        <v>#DIV/0!</v>
      </c>
      <c r="M65">
        <f t="shared" si="2"/>
        <v>1.672515315879896</v>
      </c>
      <c r="N65">
        <f t="shared" si="2"/>
        <v>-1.2954983442941996</v>
      </c>
      <c r="O65">
        <f t="shared" si="3"/>
        <v>-1.0858580109885791</v>
      </c>
    </row>
    <row r="66" spans="1:15" x14ac:dyDescent="0.4">
      <c r="A66">
        <v>15</v>
      </c>
      <c r="B66">
        <v>8</v>
      </c>
      <c r="C66">
        <v>318</v>
      </c>
      <c r="D66" t="s">
        <v>316</v>
      </c>
      <c r="E66">
        <v>4135</v>
      </c>
      <c r="F66">
        <v>13.5</v>
      </c>
      <c r="G66">
        <v>72</v>
      </c>
      <c r="H66">
        <v>1</v>
      </c>
      <c r="I66" t="s">
        <v>7</v>
      </c>
      <c r="J66">
        <f t="shared" si="1"/>
        <v>1.498191258034802</v>
      </c>
      <c r="K66">
        <f t="shared" si="2"/>
        <v>1.1962319926202531</v>
      </c>
      <c r="L66" t="e">
        <f t="shared" si="2"/>
        <v>#DIV/0!</v>
      </c>
      <c r="M66">
        <f t="shared" si="2"/>
        <v>1.3769292086970497</v>
      </c>
      <c r="N66">
        <f t="shared" si="2"/>
        <v>-0.75087999942859829</v>
      </c>
      <c r="O66">
        <f t="shared" si="3"/>
        <v>-1.0858580109885791</v>
      </c>
    </row>
    <row r="67" spans="1:15" x14ac:dyDescent="0.4">
      <c r="A67">
        <v>14</v>
      </c>
      <c r="B67">
        <v>8</v>
      </c>
      <c r="C67">
        <v>351</v>
      </c>
      <c r="D67" t="s">
        <v>340</v>
      </c>
      <c r="E67">
        <v>4129</v>
      </c>
      <c r="F67">
        <v>13</v>
      </c>
      <c r="G67">
        <v>72</v>
      </c>
      <c r="H67">
        <v>1</v>
      </c>
      <c r="I67" t="s">
        <v>5</v>
      </c>
      <c r="J67">
        <f t="shared" ref="J67:J130" si="4">(B67-P$2)/P$3</f>
        <v>1.498191258034802</v>
      </c>
      <c r="K67">
        <f t="shared" ref="K67:N130" si="5">(C67-Q$2)/Q$3</f>
        <v>1.5131168766184864</v>
      </c>
      <c r="L67" t="e">
        <f t="shared" si="5"/>
        <v>#DIV/0!</v>
      </c>
      <c r="M67">
        <f t="shared" si="5"/>
        <v>1.3698351421246613</v>
      </c>
      <c r="N67">
        <f t="shared" si="5"/>
        <v>-0.93241944771713203</v>
      </c>
      <c r="O67">
        <f t="shared" si="3"/>
        <v>-1.0858580109885791</v>
      </c>
    </row>
    <row r="68" spans="1:15" x14ac:dyDescent="0.4">
      <c r="A68">
        <v>17</v>
      </c>
      <c r="B68">
        <v>8</v>
      </c>
      <c r="C68">
        <v>304</v>
      </c>
      <c r="D68" t="s">
        <v>316</v>
      </c>
      <c r="E68">
        <v>3672</v>
      </c>
      <c r="F68">
        <v>11.5</v>
      </c>
      <c r="G68">
        <v>72</v>
      </c>
      <c r="H68">
        <v>1</v>
      </c>
      <c r="I68" t="s">
        <v>56</v>
      </c>
      <c r="J68">
        <f t="shared" si="4"/>
        <v>1.498191258034802</v>
      </c>
      <c r="K68">
        <f t="shared" si="5"/>
        <v>1.0617959812270632</v>
      </c>
      <c r="L68" t="e">
        <f t="shared" si="5"/>
        <v>#DIV/0!</v>
      </c>
      <c r="M68">
        <f t="shared" si="5"/>
        <v>0.82950373819441825</v>
      </c>
      <c r="N68">
        <f t="shared" si="5"/>
        <v>-1.4770377925827334</v>
      </c>
      <c r="O68">
        <f t="shared" si="3"/>
        <v>-1.0858580109885791</v>
      </c>
    </row>
    <row r="69" spans="1:15" x14ac:dyDescent="0.4">
      <c r="A69">
        <v>11</v>
      </c>
      <c r="B69">
        <v>8</v>
      </c>
      <c r="C69">
        <v>429</v>
      </c>
      <c r="D69" t="s">
        <v>352</v>
      </c>
      <c r="E69">
        <v>4633</v>
      </c>
      <c r="F69">
        <v>11</v>
      </c>
      <c r="G69">
        <v>72</v>
      </c>
      <c r="H69">
        <v>1</v>
      </c>
      <c r="I69" t="s">
        <v>57</v>
      </c>
      <c r="J69">
        <f t="shared" si="4"/>
        <v>1.498191258034802</v>
      </c>
      <c r="K69">
        <f t="shared" si="5"/>
        <v>2.2621175115234013</v>
      </c>
      <c r="L69" t="e">
        <f t="shared" si="5"/>
        <v>#DIV/0!</v>
      </c>
      <c r="M69">
        <f t="shared" si="5"/>
        <v>1.9657367342052796</v>
      </c>
      <c r="N69">
        <f t="shared" si="5"/>
        <v>-1.6585772408712671</v>
      </c>
      <c r="O69">
        <f t="shared" si="3"/>
        <v>-1.0858580109885791</v>
      </c>
    </row>
    <row r="70" spans="1:15" x14ac:dyDescent="0.4">
      <c r="A70">
        <v>13</v>
      </c>
      <c r="B70">
        <v>8</v>
      </c>
      <c r="C70">
        <v>350</v>
      </c>
      <c r="D70" t="s">
        <v>353</v>
      </c>
      <c r="E70">
        <v>4502</v>
      </c>
      <c r="F70">
        <v>13.5</v>
      </c>
      <c r="G70">
        <v>72</v>
      </c>
      <c r="H70">
        <v>1</v>
      </c>
      <c r="I70" t="s">
        <v>58</v>
      </c>
      <c r="J70">
        <f t="shared" si="4"/>
        <v>1.498191258034802</v>
      </c>
      <c r="K70">
        <f t="shared" si="5"/>
        <v>1.5035143043761157</v>
      </c>
      <c r="L70" t="e">
        <f t="shared" si="5"/>
        <v>#DIV/0!</v>
      </c>
      <c r="M70">
        <f t="shared" si="5"/>
        <v>1.810849614041468</v>
      </c>
      <c r="N70">
        <f t="shared" si="5"/>
        <v>-0.75087999942859829</v>
      </c>
      <c r="O70">
        <f t="shared" si="3"/>
        <v>-1.0858580109885791</v>
      </c>
    </row>
    <row r="71" spans="1:15" x14ac:dyDescent="0.4">
      <c r="A71">
        <v>12</v>
      </c>
      <c r="B71">
        <v>8</v>
      </c>
      <c r="C71">
        <v>350</v>
      </c>
      <c r="D71" t="s">
        <v>324</v>
      </c>
      <c r="E71">
        <v>4456</v>
      </c>
      <c r="F71">
        <v>13.5</v>
      </c>
      <c r="G71">
        <v>72</v>
      </c>
      <c r="H71">
        <v>1</v>
      </c>
      <c r="I71" t="s">
        <v>59</v>
      </c>
      <c r="J71">
        <f t="shared" si="4"/>
        <v>1.498191258034802</v>
      </c>
      <c r="K71">
        <f t="shared" si="5"/>
        <v>1.5035143043761157</v>
      </c>
      <c r="L71" t="e">
        <f t="shared" si="5"/>
        <v>#DIV/0!</v>
      </c>
      <c r="M71">
        <f t="shared" si="5"/>
        <v>1.7564617703198244</v>
      </c>
      <c r="N71">
        <f t="shared" si="5"/>
        <v>-0.75087999942859829</v>
      </c>
      <c r="O71">
        <f t="shared" si="3"/>
        <v>-1.0858580109885791</v>
      </c>
    </row>
    <row r="72" spans="1:15" x14ac:dyDescent="0.4">
      <c r="A72">
        <v>13</v>
      </c>
      <c r="B72">
        <v>8</v>
      </c>
      <c r="C72">
        <v>400</v>
      </c>
      <c r="D72" t="s">
        <v>322</v>
      </c>
      <c r="E72">
        <v>4422</v>
      </c>
      <c r="F72">
        <v>12.5</v>
      </c>
      <c r="G72">
        <v>72</v>
      </c>
      <c r="H72">
        <v>1</v>
      </c>
      <c r="I72" t="s">
        <v>60</v>
      </c>
      <c r="J72">
        <f t="shared" si="4"/>
        <v>1.498191258034802</v>
      </c>
      <c r="K72">
        <f t="shared" si="5"/>
        <v>1.9836429164946507</v>
      </c>
      <c r="L72" t="e">
        <f t="shared" si="5"/>
        <v>#DIV/0!</v>
      </c>
      <c r="M72">
        <f t="shared" si="5"/>
        <v>1.7162620597429572</v>
      </c>
      <c r="N72">
        <f t="shared" si="5"/>
        <v>-1.1139588960056659</v>
      </c>
      <c r="O72">
        <f t="shared" si="3"/>
        <v>-1.0858580109885791</v>
      </c>
    </row>
    <row r="73" spans="1:15" x14ac:dyDescent="0.4">
      <c r="A73">
        <v>19</v>
      </c>
      <c r="B73">
        <v>3</v>
      </c>
      <c r="C73">
        <v>70</v>
      </c>
      <c r="D73" t="s">
        <v>326</v>
      </c>
      <c r="E73">
        <v>2330</v>
      </c>
      <c r="F73">
        <v>13.5</v>
      </c>
      <c r="G73">
        <v>72</v>
      </c>
      <c r="H73">
        <v>3</v>
      </c>
      <c r="I73" t="s">
        <v>61</v>
      </c>
      <c r="J73">
        <f t="shared" si="4"/>
        <v>-1.4449485282329728</v>
      </c>
      <c r="K73">
        <f t="shared" si="5"/>
        <v>-1.1852059234876817</v>
      </c>
      <c r="L73" t="e">
        <f t="shared" si="5"/>
        <v>#DIV/0!</v>
      </c>
      <c r="M73">
        <f t="shared" si="5"/>
        <v>-0.75720248516310085</v>
      </c>
      <c r="N73">
        <f t="shared" si="5"/>
        <v>-0.75087999942859829</v>
      </c>
      <c r="O73">
        <f t="shared" si="3"/>
        <v>-1.0858580109885791</v>
      </c>
    </row>
    <row r="74" spans="1:15" x14ac:dyDescent="0.4">
      <c r="A74">
        <v>15</v>
      </c>
      <c r="B74">
        <v>8</v>
      </c>
      <c r="C74">
        <v>304</v>
      </c>
      <c r="D74" t="s">
        <v>316</v>
      </c>
      <c r="E74">
        <v>3892</v>
      </c>
      <c r="F74">
        <v>12.5</v>
      </c>
      <c r="G74">
        <v>72</v>
      </c>
      <c r="H74">
        <v>1</v>
      </c>
      <c r="I74" t="s">
        <v>62</v>
      </c>
      <c r="J74">
        <f t="shared" si="4"/>
        <v>1.498191258034802</v>
      </c>
      <c r="K74">
        <f t="shared" si="5"/>
        <v>1.0617959812270632</v>
      </c>
      <c r="L74" t="e">
        <f t="shared" si="5"/>
        <v>#DIV/0!</v>
      </c>
      <c r="M74">
        <f t="shared" si="5"/>
        <v>1.089619512515323</v>
      </c>
      <c r="N74">
        <f t="shared" si="5"/>
        <v>-1.1139588960056659</v>
      </c>
      <c r="O74">
        <f t="shared" si="3"/>
        <v>-1.0858580109885791</v>
      </c>
    </row>
    <row r="75" spans="1:15" x14ac:dyDescent="0.4">
      <c r="A75">
        <v>13</v>
      </c>
      <c r="B75">
        <v>8</v>
      </c>
      <c r="C75">
        <v>307</v>
      </c>
      <c r="D75" t="s">
        <v>314</v>
      </c>
      <c r="E75">
        <v>4098</v>
      </c>
      <c r="F75">
        <v>14</v>
      </c>
      <c r="G75">
        <v>72</v>
      </c>
      <c r="H75">
        <v>1</v>
      </c>
      <c r="I75" t="s">
        <v>63</v>
      </c>
      <c r="J75">
        <f t="shared" si="4"/>
        <v>1.498191258034802</v>
      </c>
      <c r="K75">
        <f t="shared" si="5"/>
        <v>1.0906036979541753</v>
      </c>
      <c r="L75" t="e">
        <f t="shared" si="5"/>
        <v>#DIV/0!</v>
      </c>
      <c r="M75">
        <f t="shared" si="5"/>
        <v>1.3331824648339885</v>
      </c>
      <c r="N75">
        <f t="shared" si="5"/>
        <v>-0.56934055114006443</v>
      </c>
      <c r="O75">
        <f t="shared" si="3"/>
        <v>-1.0858580109885791</v>
      </c>
    </row>
    <row r="76" spans="1:15" x14ac:dyDescent="0.4">
      <c r="A76">
        <v>13</v>
      </c>
      <c r="B76">
        <v>8</v>
      </c>
      <c r="C76">
        <v>302</v>
      </c>
      <c r="D76" t="s">
        <v>317</v>
      </c>
      <c r="E76">
        <v>4294</v>
      </c>
      <c r="F76">
        <v>16</v>
      </c>
      <c r="G76">
        <v>72</v>
      </c>
      <c r="H76">
        <v>1</v>
      </c>
      <c r="I76" t="s">
        <v>64</v>
      </c>
      <c r="J76">
        <f t="shared" si="4"/>
        <v>1.498191258034802</v>
      </c>
      <c r="K76">
        <f t="shared" si="5"/>
        <v>1.0425908367423218</v>
      </c>
      <c r="L76" t="e">
        <f t="shared" si="5"/>
        <v>#DIV/0!</v>
      </c>
      <c r="M76">
        <f t="shared" si="5"/>
        <v>1.5649219728653398</v>
      </c>
      <c r="N76">
        <f t="shared" si="5"/>
        <v>0.15681724201407066</v>
      </c>
      <c r="O76">
        <f t="shared" si="3"/>
        <v>-1.0858580109885791</v>
      </c>
    </row>
    <row r="77" spans="1:15" x14ac:dyDescent="0.4">
      <c r="A77">
        <v>14</v>
      </c>
      <c r="B77">
        <v>8</v>
      </c>
      <c r="C77">
        <v>318</v>
      </c>
      <c r="D77" t="s">
        <v>316</v>
      </c>
      <c r="E77">
        <v>4077</v>
      </c>
      <c r="F77">
        <v>14</v>
      </c>
      <c r="G77">
        <v>72</v>
      </c>
      <c r="H77">
        <v>1</v>
      </c>
      <c r="I77" t="s">
        <v>65</v>
      </c>
      <c r="J77">
        <f t="shared" si="4"/>
        <v>1.498191258034802</v>
      </c>
      <c r="K77">
        <f t="shared" si="5"/>
        <v>1.1962319926202531</v>
      </c>
      <c r="L77" t="e">
        <f t="shared" si="5"/>
        <v>#DIV/0!</v>
      </c>
      <c r="M77">
        <f t="shared" si="5"/>
        <v>1.3083532318306292</v>
      </c>
      <c r="N77">
        <f t="shared" si="5"/>
        <v>-0.56934055114006443</v>
      </c>
      <c r="O77">
        <f t="shared" si="3"/>
        <v>-1.0858580109885791</v>
      </c>
    </row>
    <row r="78" spans="1:15" x14ac:dyDescent="0.4">
      <c r="A78">
        <v>18</v>
      </c>
      <c r="B78">
        <v>4</v>
      </c>
      <c r="C78">
        <v>121</v>
      </c>
      <c r="D78" t="s">
        <v>354</v>
      </c>
      <c r="E78">
        <v>2933</v>
      </c>
      <c r="F78">
        <v>14.5</v>
      </c>
      <c r="G78">
        <v>72</v>
      </c>
      <c r="H78">
        <v>2</v>
      </c>
      <c r="I78" t="s">
        <v>66</v>
      </c>
      <c r="J78">
        <f t="shared" si="4"/>
        <v>-0.85632057097941794</v>
      </c>
      <c r="K78">
        <f t="shared" si="5"/>
        <v>-0.69547473912677571</v>
      </c>
      <c r="L78" t="e">
        <f t="shared" si="5"/>
        <v>#DIV/0!</v>
      </c>
      <c r="M78">
        <f t="shared" si="5"/>
        <v>-4.4248794638075489E-2</v>
      </c>
      <c r="N78">
        <f t="shared" si="5"/>
        <v>-0.38780110285153069</v>
      </c>
      <c r="O78">
        <f t="shared" si="3"/>
        <v>-1.0858580109885791</v>
      </c>
    </row>
    <row r="79" spans="1:15" x14ac:dyDescent="0.4">
      <c r="A79">
        <v>22</v>
      </c>
      <c r="B79">
        <v>4</v>
      </c>
      <c r="C79">
        <v>121</v>
      </c>
      <c r="D79" t="s">
        <v>346</v>
      </c>
      <c r="E79">
        <v>2511</v>
      </c>
      <c r="F79">
        <v>18</v>
      </c>
      <c r="G79">
        <v>72</v>
      </c>
      <c r="H79">
        <v>2</v>
      </c>
      <c r="I79" t="s">
        <v>67</v>
      </c>
      <c r="J79">
        <f t="shared" si="4"/>
        <v>-0.85632057097941794</v>
      </c>
      <c r="K79">
        <f t="shared" si="5"/>
        <v>-0.69547473912677571</v>
      </c>
      <c r="L79" t="e">
        <f t="shared" si="5"/>
        <v>#DIV/0!</v>
      </c>
      <c r="M79">
        <f t="shared" si="5"/>
        <v>-0.54319814356272011</v>
      </c>
      <c r="N79">
        <f t="shared" si="5"/>
        <v>0.88297503516820575</v>
      </c>
      <c r="O79">
        <f t="shared" si="3"/>
        <v>-1.0858580109885791</v>
      </c>
    </row>
    <row r="80" spans="1:15" x14ac:dyDescent="0.4">
      <c r="A80">
        <v>21</v>
      </c>
      <c r="B80">
        <v>4</v>
      </c>
      <c r="C80">
        <v>120</v>
      </c>
      <c r="D80" t="s">
        <v>330</v>
      </c>
      <c r="E80">
        <v>2979</v>
      </c>
      <c r="F80">
        <v>19.5</v>
      </c>
      <c r="G80">
        <v>72</v>
      </c>
      <c r="H80">
        <v>2</v>
      </c>
      <c r="I80" t="s">
        <v>68</v>
      </c>
      <c r="J80">
        <f t="shared" si="4"/>
        <v>-0.85632057097941794</v>
      </c>
      <c r="K80">
        <f t="shared" si="5"/>
        <v>-0.70507731136914642</v>
      </c>
      <c r="L80" t="e">
        <f t="shared" si="5"/>
        <v>#DIV/0!</v>
      </c>
      <c r="M80">
        <f t="shared" si="5"/>
        <v>1.0139049083568238E-2</v>
      </c>
      <c r="N80">
        <f t="shared" si="5"/>
        <v>1.4275933800338072</v>
      </c>
      <c r="O80">
        <f t="shared" si="3"/>
        <v>-1.0858580109885791</v>
      </c>
    </row>
    <row r="81" spans="1:15" x14ac:dyDescent="0.4">
      <c r="A81">
        <v>26</v>
      </c>
      <c r="B81">
        <v>4</v>
      </c>
      <c r="C81">
        <v>96</v>
      </c>
      <c r="D81" t="s">
        <v>348</v>
      </c>
      <c r="E81">
        <v>2189</v>
      </c>
      <c r="F81">
        <v>18</v>
      </c>
      <c r="G81">
        <v>72</v>
      </c>
      <c r="H81">
        <v>2</v>
      </c>
      <c r="I81" t="s">
        <v>69</v>
      </c>
      <c r="J81">
        <f t="shared" si="4"/>
        <v>-0.85632057097941794</v>
      </c>
      <c r="K81">
        <f t="shared" si="5"/>
        <v>-0.93553904518604336</v>
      </c>
      <c r="L81" t="e">
        <f t="shared" si="5"/>
        <v>#DIV/0!</v>
      </c>
      <c r="M81">
        <f t="shared" si="5"/>
        <v>-0.92391304961422616</v>
      </c>
      <c r="N81">
        <f t="shared" si="5"/>
        <v>0.88297503516820575</v>
      </c>
      <c r="O81">
        <f t="shared" si="3"/>
        <v>-1.0858580109885791</v>
      </c>
    </row>
    <row r="82" spans="1:15" x14ac:dyDescent="0.4">
      <c r="A82">
        <v>22</v>
      </c>
      <c r="B82">
        <v>4</v>
      </c>
      <c r="C82">
        <v>122</v>
      </c>
      <c r="D82" t="s">
        <v>344</v>
      </c>
      <c r="E82">
        <v>2395</v>
      </c>
      <c r="F82">
        <v>16</v>
      </c>
      <c r="G82">
        <v>72</v>
      </c>
      <c r="H82">
        <v>1</v>
      </c>
      <c r="I82" t="s">
        <v>70</v>
      </c>
      <c r="J82">
        <f t="shared" si="4"/>
        <v>-0.85632057097941794</v>
      </c>
      <c r="K82">
        <f t="shared" si="5"/>
        <v>-0.685872166884405</v>
      </c>
      <c r="L82" t="e">
        <f t="shared" si="5"/>
        <v>#DIV/0!</v>
      </c>
      <c r="M82">
        <f t="shared" si="5"/>
        <v>-0.68035009729556084</v>
      </c>
      <c r="N82">
        <f t="shared" si="5"/>
        <v>0.15681724201407066</v>
      </c>
      <c r="O82">
        <f t="shared" si="3"/>
        <v>-1.0858580109885791</v>
      </c>
    </row>
    <row r="83" spans="1:15" x14ac:dyDescent="0.4">
      <c r="A83">
        <v>28</v>
      </c>
      <c r="B83">
        <v>4</v>
      </c>
      <c r="C83">
        <v>97</v>
      </c>
      <c r="D83" t="s">
        <v>355</v>
      </c>
      <c r="E83">
        <v>2288</v>
      </c>
      <c r="F83">
        <v>17</v>
      </c>
      <c r="G83">
        <v>72</v>
      </c>
      <c r="H83">
        <v>3</v>
      </c>
      <c r="I83" t="s">
        <v>71</v>
      </c>
      <c r="J83">
        <f t="shared" si="4"/>
        <v>-0.85632057097941794</v>
      </c>
      <c r="K83">
        <f t="shared" si="5"/>
        <v>-0.92593647294367265</v>
      </c>
      <c r="L83" t="e">
        <f t="shared" si="5"/>
        <v>#DIV/0!</v>
      </c>
      <c r="M83">
        <f t="shared" si="5"/>
        <v>-0.80686095116981904</v>
      </c>
      <c r="N83">
        <f t="shared" si="5"/>
        <v>0.51989613859113826</v>
      </c>
      <c r="O83">
        <f t="shared" si="3"/>
        <v>-1.0858580109885791</v>
      </c>
    </row>
    <row r="84" spans="1:15" x14ac:dyDescent="0.4">
      <c r="A84">
        <v>23</v>
      </c>
      <c r="B84">
        <v>4</v>
      </c>
      <c r="C84">
        <v>120</v>
      </c>
      <c r="D84" t="s">
        <v>326</v>
      </c>
      <c r="E84">
        <v>2506</v>
      </c>
      <c r="F84">
        <v>14.5</v>
      </c>
      <c r="G84">
        <v>72</v>
      </c>
      <c r="H84">
        <v>3</v>
      </c>
      <c r="I84" t="s">
        <v>72</v>
      </c>
      <c r="J84">
        <f t="shared" si="4"/>
        <v>-0.85632057097941794</v>
      </c>
      <c r="K84">
        <f t="shared" si="5"/>
        <v>-0.70507731136914642</v>
      </c>
      <c r="L84" t="e">
        <f t="shared" si="5"/>
        <v>#DIV/0!</v>
      </c>
      <c r="M84">
        <f t="shared" si="5"/>
        <v>-0.54910986570637699</v>
      </c>
      <c r="N84">
        <f t="shared" si="5"/>
        <v>-0.38780110285153069</v>
      </c>
      <c r="O84">
        <f t="shared" si="3"/>
        <v>-1.0858580109885791</v>
      </c>
    </row>
    <row r="85" spans="1:15" x14ac:dyDescent="0.4">
      <c r="A85">
        <v>28</v>
      </c>
      <c r="B85">
        <v>4</v>
      </c>
      <c r="C85">
        <v>98</v>
      </c>
      <c r="D85" t="s">
        <v>350</v>
      </c>
      <c r="E85">
        <v>2164</v>
      </c>
      <c r="F85">
        <v>15</v>
      </c>
      <c r="G85">
        <v>72</v>
      </c>
      <c r="H85">
        <v>1</v>
      </c>
      <c r="I85" t="s">
        <v>73</v>
      </c>
      <c r="J85">
        <f t="shared" si="4"/>
        <v>-0.85632057097941794</v>
      </c>
      <c r="K85">
        <f t="shared" si="5"/>
        <v>-0.91633390070130194</v>
      </c>
      <c r="L85" t="e">
        <f t="shared" si="5"/>
        <v>#DIV/0!</v>
      </c>
      <c r="M85">
        <f t="shared" si="5"/>
        <v>-0.95347166033251085</v>
      </c>
      <c r="N85">
        <f t="shared" si="5"/>
        <v>-0.20626165456299692</v>
      </c>
      <c r="O85">
        <f t="shared" si="3"/>
        <v>-1.0858580109885791</v>
      </c>
    </row>
    <row r="86" spans="1:15" x14ac:dyDescent="0.4">
      <c r="A86">
        <v>27</v>
      </c>
      <c r="B86">
        <v>4</v>
      </c>
      <c r="C86">
        <v>97</v>
      </c>
      <c r="D86" t="s">
        <v>328</v>
      </c>
      <c r="E86">
        <v>2100</v>
      </c>
      <c r="F86">
        <v>16.5</v>
      </c>
      <c r="G86">
        <v>72</v>
      </c>
      <c r="H86">
        <v>3</v>
      </c>
      <c r="I86" t="s">
        <v>74</v>
      </c>
      <c r="J86">
        <f t="shared" si="4"/>
        <v>-0.85632057097941794</v>
      </c>
      <c r="K86">
        <f t="shared" si="5"/>
        <v>-0.92593647294367265</v>
      </c>
      <c r="L86" t="e">
        <f t="shared" si="5"/>
        <v>#DIV/0!</v>
      </c>
      <c r="M86">
        <f t="shared" si="5"/>
        <v>-1.0291417037713195</v>
      </c>
      <c r="N86">
        <f t="shared" si="5"/>
        <v>0.3383566903026044</v>
      </c>
      <c r="O86">
        <f t="shared" si="3"/>
        <v>-1.0858580109885791</v>
      </c>
    </row>
    <row r="87" spans="1:15" x14ac:dyDescent="0.4">
      <c r="A87">
        <v>13</v>
      </c>
      <c r="B87">
        <v>8</v>
      </c>
      <c r="C87">
        <v>350</v>
      </c>
      <c r="D87" t="s">
        <v>339</v>
      </c>
      <c r="E87">
        <v>4100</v>
      </c>
      <c r="F87">
        <v>13</v>
      </c>
      <c r="G87">
        <v>73</v>
      </c>
      <c r="H87">
        <v>1</v>
      </c>
      <c r="I87" t="s">
        <v>75</v>
      </c>
      <c r="J87">
        <f t="shared" si="4"/>
        <v>1.498191258034802</v>
      </c>
      <c r="K87">
        <f t="shared" si="5"/>
        <v>1.5035143043761157</v>
      </c>
      <c r="L87" t="e">
        <f t="shared" si="5"/>
        <v>#DIV/0!</v>
      </c>
      <c r="M87">
        <f t="shared" si="5"/>
        <v>1.3355471536914512</v>
      </c>
      <c r="N87">
        <f t="shared" si="5"/>
        <v>-0.93241944771713203</v>
      </c>
      <c r="O87">
        <f t="shared" si="3"/>
        <v>-0.81507387040370849</v>
      </c>
    </row>
    <row r="88" spans="1:15" x14ac:dyDescent="0.4">
      <c r="A88">
        <v>14</v>
      </c>
      <c r="B88">
        <v>8</v>
      </c>
      <c r="C88">
        <v>304</v>
      </c>
      <c r="D88" t="s">
        <v>316</v>
      </c>
      <c r="E88">
        <v>3672</v>
      </c>
      <c r="F88">
        <v>11.5</v>
      </c>
      <c r="G88">
        <v>73</v>
      </c>
      <c r="H88">
        <v>1</v>
      </c>
      <c r="I88" t="s">
        <v>34</v>
      </c>
      <c r="J88">
        <f t="shared" si="4"/>
        <v>1.498191258034802</v>
      </c>
      <c r="K88">
        <f t="shared" si="5"/>
        <v>1.0617959812270632</v>
      </c>
      <c r="L88" t="e">
        <f t="shared" si="5"/>
        <v>#DIV/0!</v>
      </c>
      <c r="M88">
        <f t="shared" si="5"/>
        <v>0.82950373819441825</v>
      </c>
      <c r="N88">
        <f t="shared" si="5"/>
        <v>-1.4770377925827334</v>
      </c>
      <c r="O88">
        <f t="shared" si="3"/>
        <v>-0.81507387040370849</v>
      </c>
    </row>
    <row r="89" spans="1:15" x14ac:dyDescent="0.4">
      <c r="A89">
        <v>13</v>
      </c>
      <c r="B89">
        <v>8</v>
      </c>
      <c r="C89">
        <v>350</v>
      </c>
      <c r="D89" t="s">
        <v>356</v>
      </c>
      <c r="E89">
        <v>3988</v>
      </c>
      <c r="F89">
        <v>13</v>
      </c>
      <c r="G89">
        <v>73</v>
      </c>
      <c r="H89">
        <v>1</v>
      </c>
      <c r="I89" t="s">
        <v>76</v>
      </c>
      <c r="J89">
        <f t="shared" si="4"/>
        <v>1.498191258034802</v>
      </c>
      <c r="K89">
        <f t="shared" si="5"/>
        <v>1.5035143043761157</v>
      </c>
      <c r="L89" t="e">
        <f t="shared" si="5"/>
        <v>#DIV/0!</v>
      </c>
      <c r="M89">
        <f t="shared" si="5"/>
        <v>1.203124577673536</v>
      </c>
      <c r="N89">
        <f t="shared" si="5"/>
        <v>-0.93241944771713203</v>
      </c>
      <c r="O89">
        <f t="shared" si="3"/>
        <v>-0.81507387040370849</v>
      </c>
    </row>
    <row r="90" spans="1:15" x14ac:dyDescent="0.4">
      <c r="A90">
        <v>14</v>
      </c>
      <c r="B90">
        <v>8</v>
      </c>
      <c r="C90">
        <v>302</v>
      </c>
      <c r="D90" t="s">
        <v>357</v>
      </c>
      <c r="E90">
        <v>4042</v>
      </c>
      <c r="F90">
        <v>14.5</v>
      </c>
      <c r="G90">
        <v>73</v>
      </c>
      <c r="H90">
        <v>1</v>
      </c>
      <c r="I90" t="s">
        <v>77</v>
      </c>
      <c r="J90">
        <f t="shared" si="4"/>
        <v>1.498191258034802</v>
      </c>
      <c r="K90">
        <f t="shared" si="5"/>
        <v>1.0425908367423218</v>
      </c>
      <c r="L90" t="e">
        <f t="shared" si="5"/>
        <v>#DIV/0!</v>
      </c>
      <c r="M90">
        <f t="shared" si="5"/>
        <v>1.2669711768250309</v>
      </c>
      <c r="N90">
        <f t="shared" si="5"/>
        <v>-0.38780110285153069</v>
      </c>
      <c r="O90">
        <f t="shared" si="3"/>
        <v>-0.81507387040370849</v>
      </c>
    </row>
    <row r="91" spans="1:15" x14ac:dyDescent="0.4">
      <c r="A91">
        <v>15</v>
      </c>
      <c r="B91">
        <v>8</v>
      </c>
      <c r="C91">
        <v>318</v>
      </c>
      <c r="D91" t="s">
        <v>316</v>
      </c>
      <c r="E91">
        <v>3777</v>
      </c>
      <c r="F91">
        <v>12.5</v>
      </c>
      <c r="G91">
        <v>73</v>
      </c>
      <c r="H91">
        <v>1</v>
      </c>
      <c r="I91" t="s">
        <v>78</v>
      </c>
      <c r="J91">
        <f t="shared" si="4"/>
        <v>1.498191258034802</v>
      </c>
      <c r="K91">
        <f t="shared" si="5"/>
        <v>1.1962319926202531</v>
      </c>
      <c r="L91" t="e">
        <f t="shared" si="5"/>
        <v>#DIV/0!</v>
      </c>
      <c r="M91">
        <f t="shared" si="5"/>
        <v>0.95364990321121379</v>
      </c>
      <c r="N91">
        <f t="shared" si="5"/>
        <v>-1.1139588960056659</v>
      </c>
      <c r="O91">
        <f t="shared" si="3"/>
        <v>-0.81507387040370849</v>
      </c>
    </row>
    <row r="92" spans="1:15" x14ac:dyDescent="0.4">
      <c r="A92">
        <v>12</v>
      </c>
      <c r="B92">
        <v>8</v>
      </c>
      <c r="C92">
        <v>429</v>
      </c>
      <c r="D92" t="s">
        <v>318</v>
      </c>
      <c r="E92">
        <v>4952</v>
      </c>
      <c r="F92">
        <v>11.5</v>
      </c>
      <c r="G92">
        <v>73</v>
      </c>
      <c r="H92">
        <v>1</v>
      </c>
      <c r="I92" t="s">
        <v>79</v>
      </c>
      <c r="J92">
        <f t="shared" si="4"/>
        <v>1.498191258034802</v>
      </c>
      <c r="K92">
        <f t="shared" si="5"/>
        <v>2.2621175115234013</v>
      </c>
      <c r="L92" t="e">
        <f t="shared" si="5"/>
        <v>#DIV/0!</v>
      </c>
      <c r="M92">
        <f t="shared" si="5"/>
        <v>2.3429046069705914</v>
      </c>
      <c r="N92">
        <f t="shared" si="5"/>
        <v>-1.4770377925827334</v>
      </c>
      <c r="O92">
        <f t="shared" si="3"/>
        <v>-0.81507387040370849</v>
      </c>
    </row>
    <row r="93" spans="1:15" x14ac:dyDescent="0.4">
      <c r="A93">
        <v>13</v>
      </c>
      <c r="B93">
        <v>8</v>
      </c>
      <c r="C93">
        <v>400</v>
      </c>
      <c r="D93" t="s">
        <v>316</v>
      </c>
      <c r="E93">
        <v>4464</v>
      </c>
      <c r="F93">
        <v>12</v>
      </c>
      <c r="G93">
        <v>73</v>
      </c>
      <c r="H93">
        <v>1</v>
      </c>
      <c r="I93" t="s">
        <v>80</v>
      </c>
      <c r="J93">
        <f t="shared" si="4"/>
        <v>1.498191258034802</v>
      </c>
      <c r="K93">
        <f t="shared" si="5"/>
        <v>1.9836429164946507</v>
      </c>
      <c r="L93" t="e">
        <f t="shared" si="5"/>
        <v>#DIV/0!</v>
      </c>
      <c r="M93">
        <f t="shared" si="5"/>
        <v>1.7659205257496755</v>
      </c>
      <c r="N93">
        <f t="shared" si="5"/>
        <v>-1.2954983442941996</v>
      </c>
      <c r="O93">
        <f t="shared" si="3"/>
        <v>-0.81507387040370849</v>
      </c>
    </row>
    <row r="94" spans="1:15" x14ac:dyDescent="0.4">
      <c r="A94">
        <v>13</v>
      </c>
      <c r="B94">
        <v>8</v>
      </c>
      <c r="C94">
        <v>351</v>
      </c>
      <c r="D94" t="s">
        <v>358</v>
      </c>
      <c r="E94">
        <v>4363</v>
      </c>
      <c r="F94">
        <v>13</v>
      </c>
      <c r="G94">
        <v>73</v>
      </c>
      <c r="H94">
        <v>1</v>
      </c>
      <c r="I94" t="s">
        <v>81</v>
      </c>
      <c r="J94">
        <f t="shared" si="4"/>
        <v>1.498191258034802</v>
      </c>
      <c r="K94">
        <f t="shared" si="5"/>
        <v>1.5131168766184864</v>
      </c>
      <c r="L94" t="e">
        <f t="shared" si="5"/>
        <v>#DIV/0!</v>
      </c>
      <c r="M94">
        <f t="shared" si="5"/>
        <v>1.6465037384478056</v>
      </c>
      <c r="N94">
        <f t="shared" si="5"/>
        <v>-0.93241944771713203</v>
      </c>
      <c r="O94">
        <f t="shared" si="3"/>
        <v>-0.81507387040370849</v>
      </c>
    </row>
    <row r="95" spans="1:15" x14ac:dyDescent="0.4">
      <c r="A95">
        <v>14</v>
      </c>
      <c r="B95">
        <v>8</v>
      </c>
      <c r="C95">
        <v>318</v>
      </c>
      <c r="D95" t="s">
        <v>316</v>
      </c>
      <c r="E95">
        <v>4237</v>
      </c>
      <c r="F95">
        <v>14.5</v>
      </c>
      <c r="G95">
        <v>73</v>
      </c>
      <c r="H95">
        <v>1</v>
      </c>
      <c r="I95" t="s">
        <v>82</v>
      </c>
      <c r="J95">
        <f t="shared" si="4"/>
        <v>1.498191258034802</v>
      </c>
      <c r="K95">
        <f t="shared" si="5"/>
        <v>1.1962319926202531</v>
      </c>
      <c r="L95" t="e">
        <f t="shared" si="5"/>
        <v>#DIV/0!</v>
      </c>
      <c r="M95">
        <f t="shared" si="5"/>
        <v>1.4975283404276509</v>
      </c>
      <c r="N95">
        <f t="shared" si="5"/>
        <v>-0.38780110285153069</v>
      </c>
      <c r="O95">
        <f t="shared" si="3"/>
        <v>-0.81507387040370849</v>
      </c>
    </row>
    <row r="96" spans="1:15" x14ac:dyDescent="0.4">
      <c r="A96">
        <v>13</v>
      </c>
      <c r="B96">
        <v>8</v>
      </c>
      <c r="C96">
        <v>440</v>
      </c>
      <c r="D96" t="s">
        <v>320</v>
      </c>
      <c r="E96">
        <v>4735</v>
      </c>
      <c r="F96">
        <v>11</v>
      </c>
      <c r="G96">
        <v>73</v>
      </c>
      <c r="H96">
        <v>1</v>
      </c>
      <c r="I96" t="s">
        <v>83</v>
      </c>
      <c r="J96">
        <f t="shared" si="4"/>
        <v>1.498191258034802</v>
      </c>
      <c r="K96">
        <f t="shared" si="5"/>
        <v>2.3677458061894789</v>
      </c>
      <c r="L96" t="e">
        <f t="shared" si="5"/>
        <v>#DIV/0!</v>
      </c>
      <c r="M96">
        <f t="shared" si="5"/>
        <v>2.0863358659358808</v>
      </c>
      <c r="N96">
        <f t="shared" si="5"/>
        <v>-1.6585772408712671</v>
      </c>
      <c r="O96">
        <f t="shared" si="3"/>
        <v>-0.81507387040370849</v>
      </c>
    </row>
    <row r="97" spans="1:15" x14ac:dyDescent="0.4">
      <c r="A97">
        <v>12</v>
      </c>
      <c r="B97">
        <v>8</v>
      </c>
      <c r="C97">
        <v>455</v>
      </c>
      <c r="D97" t="s">
        <v>321</v>
      </c>
      <c r="E97">
        <v>4951</v>
      </c>
      <c r="F97">
        <v>11</v>
      </c>
      <c r="G97">
        <v>73</v>
      </c>
      <c r="H97">
        <v>1</v>
      </c>
      <c r="I97" t="s">
        <v>84</v>
      </c>
      <c r="J97">
        <f t="shared" si="4"/>
        <v>1.498191258034802</v>
      </c>
      <c r="K97">
        <f t="shared" si="5"/>
        <v>2.5117843898250398</v>
      </c>
      <c r="L97" t="e">
        <f t="shared" si="5"/>
        <v>#DIV/0!</v>
      </c>
      <c r="M97">
        <f t="shared" si="5"/>
        <v>2.3417222625418601</v>
      </c>
      <c r="N97">
        <f t="shared" si="5"/>
        <v>-1.6585772408712671</v>
      </c>
      <c r="O97">
        <f t="shared" si="3"/>
        <v>-0.81507387040370849</v>
      </c>
    </row>
    <row r="98" spans="1:15" x14ac:dyDescent="0.4">
      <c r="A98">
        <v>13</v>
      </c>
      <c r="B98">
        <v>8</v>
      </c>
      <c r="C98">
        <v>360</v>
      </c>
      <c r="D98" t="s">
        <v>339</v>
      </c>
      <c r="E98">
        <v>3821</v>
      </c>
      <c r="F98">
        <v>11</v>
      </c>
      <c r="G98">
        <v>73</v>
      </c>
      <c r="H98">
        <v>1</v>
      </c>
      <c r="I98" t="s">
        <v>85</v>
      </c>
      <c r="J98">
        <f t="shared" si="4"/>
        <v>1.498191258034802</v>
      </c>
      <c r="K98">
        <f t="shared" si="5"/>
        <v>1.5995400267998225</v>
      </c>
      <c r="L98" t="e">
        <f t="shared" si="5"/>
        <v>#DIV/0!</v>
      </c>
      <c r="M98">
        <f t="shared" si="5"/>
        <v>1.0056730580753948</v>
      </c>
      <c r="N98">
        <f t="shared" si="5"/>
        <v>-1.6585772408712671</v>
      </c>
      <c r="O98">
        <f t="shared" si="3"/>
        <v>-0.81507387040370849</v>
      </c>
    </row>
    <row r="99" spans="1:15" x14ac:dyDescent="0.4">
      <c r="A99">
        <v>18</v>
      </c>
      <c r="B99">
        <v>6</v>
      </c>
      <c r="C99">
        <v>225</v>
      </c>
      <c r="D99" t="s">
        <v>338</v>
      </c>
      <c r="E99">
        <v>3121</v>
      </c>
      <c r="F99">
        <v>16.5</v>
      </c>
      <c r="G99">
        <v>73</v>
      </c>
      <c r="H99">
        <v>1</v>
      </c>
      <c r="I99" t="s">
        <v>86</v>
      </c>
      <c r="J99">
        <f t="shared" si="4"/>
        <v>0.3209353435276921</v>
      </c>
      <c r="K99">
        <f t="shared" si="5"/>
        <v>0.30319277407977752</v>
      </c>
      <c r="L99" t="e">
        <f t="shared" si="5"/>
        <v>#DIV/0!</v>
      </c>
      <c r="M99">
        <f t="shared" si="5"/>
        <v>0.17803195796342497</v>
      </c>
      <c r="N99">
        <f t="shared" si="5"/>
        <v>0.3383566903026044</v>
      </c>
      <c r="O99">
        <f t="shared" si="3"/>
        <v>-0.81507387040370849</v>
      </c>
    </row>
    <row r="100" spans="1:15" x14ac:dyDescent="0.4">
      <c r="A100">
        <v>16</v>
      </c>
      <c r="B100">
        <v>6</v>
      </c>
      <c r="C100">
        <v>250</v>
      </c>
      <c r="D100" t="s">
        <v>337</v>
      </c>
      <c r="E100">
        <v>3278</v>
      </c>
      <c r="F100">
        <v>18</v>
      </c>
      <c r="G100">
        <v>73</v>
      </c>
      <c r="H100">
        <v>1</v>
      </c>
      <c r="I100" t="s">
        <v>87</v>
      </c>
      <c r="J100">
        <f t="shared" si="4"/>
        <v>0.3209353435276921</v>
      </c>
      <c r="K100">
        <f t="shared" si="5"/>
        <v>0.54325708013904517</v>
      </c>
      <c r="L100" t="e">
        <f t="shared" si="5"/>
        <v>#DIV/0!</v>
      </c>
      <c r="M100">
        <f t="shared" si="5"/>
        <v>0.36366003327425245</v>
      </c>
      <c r="N100">
        <f t="shared" si="5"/>
        <v>0.88297503516820575</v>
      </c>
      <c r="O100">
        <f t="shared" si="3"/>
        <v>-0.81507387040370849</v>
      </c>
    </row>
    <row r="101" spans="1:15" x14ac:dyDescent="0.4">
      <c r="A101">
        <v>18</v>
      </c>
      <c r="B101">
        <v>6</v>
      </c>
      <c r="C101">
        <v>232</v>
      </c>
      <c r="D101" t="s">
        <v>337</v>
      </c>
      <c r="E101">
        <v>2945</v>
      </c>
      <c r="F101">
        <v>16</v>
      </c>
      <c r="G101">
        <v>73</v>
      </c>
      <c r="H101">
        <v>1</v>
      </c>
      <c r="I101" t="s">
        <v>16</v>
      </c>
      <c r="J101">
        <f t="shared" si="4"/>
        <v>0.3209353435276921</v>
      </c>
      <c r="K101">
        <f t="shared" si="5"/>
        <v>0.37041077977637243</v>
      </c>
      <c r="L101" t="e">
        <f t="shared" si="5"/>
        <v>#DIV/0!</v>
      </c>
      <c r="M101">
        <f t="shared" si="5"/>
        <v>-3.0060661493298863E-2</v>
      </c>
      <c r="N101">
        <f t="shared" si="5"/>
        <v>0.15681724201407066</v>
      </c>
      <c r="O101">
        <f t="shared" si="3"/>
        <v>-0.81507387040370849</v>
      </c>
    </row>
    <row r="102" spans="1:15" x14ac:dyDescent="0.4">
      <c r="A102">
        <v>18</v>
      </c>
      <c r="B102">
        <v>6</v>
      </c>
      <c r="C102">
        <v>250</v>
      </c>
      <c r="D102" t="s">
        <v>328</v>
      </c>
      <c r="E102">
        <v>3021</v>
      </c>
      <c r="F102">
        <v>16.5</v>
      </c>
      <c r="G102">
        <v>73</v>
      </c>
      <c r="H102">
        <v>1</v>
      </c>
      <c r="I102" t="s">
        <v>17</v>
      </c>
      <c r="J102">
        <f t="shared" si="4"/>
        <v>0.3209353435276921</v>
      </c>
      <c r="K102">
        <f t="shared" si="5"/>
        <v>0.54325708013904517</v>
      </c>
      <c r="L102" t="e">
        <f t="shared" si="5"/>
        <v>#DIV/0!</v>
      </c>
      <c r="M102">
        <f t="shared" si="5"/>
        <v>5.979751509028642E-2</v>
      </c>
      <c r="N102">
        <f t="shared" si="5"/>
        <v>0.3383566903026044</v>
      </c>
      <c r="O102">
        <f t="shared" si="3"/>
        <v>-0.81507387040370849</v>
      </c>
    </row>
    <row r="103" spans="1:15" x14ac:dyDescent="0.4">
      <c r="A103">
        <v>23</v>
      </c>
      <c r="B103">
        <v>6</v>
      </c>
      <c r="C103">
        <v>198</v>
      </c>
      <c r="D103" t="s">
        <v>325</v>
      </c>
      <c r="E103">
        <v>2904</v>
      </c>
      <c r="F103">
        <v>16</v>
      </c>
      <c r="G103">
        <v>73</v>
      </c>
      <c r="H103">
        <v>1</v>
      </c>
      <c r="I103" t="s">
        <v>15</v>
      </c>
      <c r="J103">
        <f t="shared" si="4"/>
        <v>0.3209353435276921</v>
      </c>
      <c r="K103">
        <f t="shared" si="5"/>
        <v>4.3923323535768506E-2</v>
      </c>
      <c r="L103" t="e">
        <f t="shared" si="5"/>
        <v>#DIV/0!</v>
      </c>
      <c r="M103">
        <f t="shared" si="5"/>
        <v>-7.8536783071285657E-2</v>
      </c>
      <c r="N103">
        <f t="shared" si="5"/>
        <v>0.15681724201407066</v>
      </c>
      <c r="O103">
        <f t="shared" si="3"/>
        <v>-0.81507387040370849</v>
      </c>
    </row>
    <row r="104" spans="1:15" x14ac:dyDescent="0.4">
      <c r="A104">
        <v>26</v>
      </c>
      <c r="B104">
        <v>4</v>
      </c>
      <c r="C104">
        <v>97</v>
      </c>
      <c r="D104" t="s">
        <v>329</v>
      </c>
      <c r="E104">
        <v>1950</v>
      </c>
      <c r="F104">
        <v>21</v>
      </c>
      <c r="G104">
        <v>73</v>
      </c>
      <c r="H104">
        <v>2</v>
      </c>
      <c r="I104" t="s">
        <v>88</v>
      </c>
      <c r="J104">
        <f t="shared" si="4"/>
        <v>-0.85632057097941794</v>
      </c>
      <c r="K104">
        <f t="shared" si="5"/>
        <v>-0.92593647294367265</v>
      </c>
      <c r="L104" t="e">
        <f t="shared" si="5"/>
        <v>#DIV/0!</v>
      </c>
      <c r="M104">
        <f t="shared" si="5"/>
        <v>-1.2064933680810273</v>
      </c>
      <c r="N104">
        <f t="shared" si="5"/>
        <v>1.9722117248994084</v>
      </c>
      <c r="O104">
        <f t="shared" si="3"/>
        <v>-0.81507387040370849</v>
      </c>
    </row>
    <row r="105" spans="1:15" x14ac:dyDescent="0.4">
      <c r="A105">
        <v>11</v>
      </c>
      <c r="B105">
        <v>8</v>
      </c>
      <c r="C105">
        <v>400</v>
      </c>
      <c r="D105" t="s">
        <v>316</v>
      </c>
      <c r="E105">
        <v>4997</v>
      </c>
      <c r="F105">
        <v>14</v>
      </c>
      <c r="G105">
        <v>73</v>
      </c>
      <c r="H105">
        <v>1</v>
      </c>
      <c r="I105" t="s">
        <v>6</v>
      </c>
      <c r="J105">
        <f t="shared" si="4"/>
        <v>1.498191258034802</v>
      </c>
      <c r="K105">
        <f t="shared" si="5"/>
        <v>1.9836429164946507</v>
      </c>
      <c r="L105" t="e">
        <f t="shared" si="5"/>
        <v>#DIV/0!</v>
      </c>
      <c r="M105">
        <f t="shared" si="5"/>
        <v>2.396110106263504</v>
      </c>
      <c r="N105">
        <f t="shared" si="5"/>
        <v>-0.56934055114006443</v>
      </c>
      <c r="O105">
        <f t="shared" si="3"/>
        <v>-0.81507387040370849</v>
      </c>
    </row>
    <row r="106" spans="1:15" x14ac:dyDescent="0.4">
      <c r="A106">
        <v>12</v>
      </c>
      <c r="B106">
        <v>8</v>
      </c>
      <c r="C106">
        <v>400</v>
      </c>
      <c r="D106" t="s">
        <v>359</v>
      </c>
      <c r="E106">
        <v>4906</v>
      </c>
      <c r="F106">
        <v>12.5</v>
      </c>
      <c r="G106">
        <v>73</v>
      </c>
      <c r="H106">
        <v>1</v>
      </c>
      <c r="I106" t="s">
        <v>89</v>
      </c>
      <c r="J106">
        <f t="shared" si="4"/>
        <v>1.498191258034802</v>
      </c>
      <c r="K106">
        <f t="shared" si="5"/>
        <v>1.9836429164946507</v>
      </c>
      <c r="L106" t="e">
        <f t="shared" si="5"/>
        <v>#DIV/0!</v>
      </c>
      <c r="M106">
        <f t="shared" si="5"/>
        <v>2.2885167632489476</v>
      </c>
      <c r="N106">
        <f t="shared" si="5"/>
        <v>-1.1139588960056659</v>
      </c>
      <c r="O106">
        <f t="shared" si="3"/>
        <v>-0.81507387040370849</v>
      </c>
    </row>
    <row r="107" spans="1:15" x14ac:dyDescent="0.4">
      <c r="A107">
        <v>13</v>
      </c>
      <c r="B107">
        <v>8</v>
      </c>
      <c r="C107">
        <v>360</v>
      </c>
      <c r="D107" t="s">
        <v>323</v>
      </c>
      <c r="E107">
        <v>4654</v>
      </c>
      <c r="F107">
        <v>13</v>
      </c>
      <c r="G107">
        <v>73</v>
      </c>
      <c r="H107">
        <v>1</v>
      </c>
      <c r="I107" t="s">
        <v>90</v>
      </c>
      <c r="J107">
        <f t="shared" si="4"/>
        <v>1.498191258034802</v>
      </c>
      <c r="K107">
        <f t="shared" si="5"/>
        <v>1.5995400267998225</v>
      </c>
      <c r="L107" t="e">
        <f t="shared" si="5"/>
        <v>#DIV/0!</v>
      </c>
      <c r="M107">
        <f t="shared" si="5"/>
        <v>1.9905659672086387</v>
      </c>
      <c r="N107">
        <f t="shared" si="5"/>
        <v>-0.93241944771713203</v>
      </c>
      <c r="O107">
        <f t="shared" si="3"/>
        <v>-0.81507387040370849</v>
      </c>
    </row>
    <row r="108" spans="1:15" x14ac:dyDescent="0.4">
      <c r="A108">
        <v>12</v>
      </c>
      <c r="B108">
        <v>8</v>
      </c>
      <c r="C108">
        <v>350</v>
      </c>
      <c r="D108" t="s">
        <v>341</v>
      </c>
      <c r="E108">
        <v>4499</v>
      </c>
      <c r="F108">
        <v>12.5</v>
      </c>
      <c r="G108">
        <v>73</v>
      </c>
      <c r="H108">
        <v>1</v>
      </c>
      <c r="I108" t="s">
        <v>91</v>
      </c>
      <c r="J108">
        <f t="shared" si="4"/>
        <v>1.498191258034802</v>
      </c>
      <c r="K108">
        <f t="shared" si="5"/>
        <v>1.5035143043761157</v>
      </c>
      <c r="L108" t="e">
        <f t="shared" si="5"/>
        <v>#DIV/0!</v>
      </c>
      <c r="M108">
        <f t="shared" si="5"/>
        <v>1.8073025807552741</v>
      </c>
      <c r="N108">
        <f t="shared" si="5"/>
        <v>-1.1139588960056659</v>
      </c>
      <c r="O108">
        <f t="shared" si="3"/>
        <v>-0.81507387040370849</v>
      </c>
    </row>
    <row r="109" spans="1:15" x14ac:dyDescent="0.4">
      <c r="A109">
        <v>18</v>
      </c>
      <c r="B109">
        <v>6</v>
      </c>
      <c r="C109">
        <v>232</v>
      </c>
      <c r="D109" t="s">
        <v>337</v>
      </c>
      <c r="E109">
        <v>2789</v>
      </c>
      <c r="F109">
        <v>15</v>
      </c>
      <c r="G109">
        <v>73</v>
      </c>
      <c r="H109">
        <v>1</v>
      </c>
      <c r="I109" t="s">
        <v>24</v>
      </c>
      <c r="J109">
        <f t="shared" si="4"/>
        <v>0.3209353435276921</v>
      </c>
      <c r="K109">
        <f t="shared" si="5"/>
        <v>0.37041077977637243</v>
      </c>
      <c r="L109" t="e">
        <f t="shared" si="5"/>
        <v>#DIV/0!</v>
      </c>
      <c r="M109">
        <f t="shared" si="5"/>
        <v>-0.21450639237539498</v>
      </c>
      <c r="N109">
        <f t="shared" si="5"/>
        <v>-0.20626165456299692</v>
      </c>
      <c r="O109">
        <f t="shared" si="3"/>
        <v>-0.81507387040370849</v>
      </c>
    </row>
    <row r="110" spans="1:15" x14ac:dyDescent="0.4">
      <c r="A110">
        <v>20</v>
      </c>
      <c r="B110">
        <v>4</v>
      </c>
      <c r="C110">
        <v>97</v>
      </c>
      <c r="D110" t="s">
        <v>328</v>
      </c>
      <c r="E110">
        <v>2279</v>
      </c>
      <c r="F110">
        <v>19</v>
      </c>
      <c r="G110">
        <v>73</v>
      </c>
      <c r="H110">
        <v>3</v>
      </c>
      <c r="I110" t="s">
        <v>92</v>
      </c>
      <c r="J110">
        <f t="shared" si="4"/>
        <v>-0.85632057097941794</v>
      </c>
      <c r="K110">
        <f t="shared" si="5"/>
        <v>-0.92593647294367265</v>
      </c>
      <c r="L110" t="e">
        <f t="shared" si="5"/>
        <v>#DIV/0!</v>
      </c>
      <c r="M110">
        <f t="shared" si="5"/>
        <v>-0.81750205102840146</v>
      </c>
      <c r="N110">
        <f t="shared" si="5"/>
        <v>1.2460539317452732</v>
      </c>
      <c r="O110">
        <f t="shared" si="3"/>
        <v>-0.81507387040370849</v>
      </c>
    </row>
    <row r="111" spans="1:15" x14ac:dyDescent="0.4">
      <c r="A111">
        <v>21</v>
      </c>
      <c r="B111">
        <v>4</v>
      </c>
      <c r="C111">
        <v>140</v>
      </c>
      <c r="D111" t="s">
        <v>343</v>
      </c>
      <c r="E111">
        <v>2401</v>
      </c>
      <c r="F111">
        <v>19.5</v>
      </c>
      <c r="G111">
        <v>73</v>
      </c>
      <c r="H111">
        <v>1</v>
      </c>
      <c r="I111" t="s">
        <v>54</v>
      </c>
      <c r="J111">
        <f t="shared" si="4"/>
        <v>-0.85632057097941794</v>
      </c>
      <c r="K111">
        <f t="shared" si="5"/>
        <v>-0.51302586652173232</v>
      </c>
      <c r="L111" t="e">
        <f t="shared" si="5"/>
        <v>#DIV/0!</v>
      </c>
      <c r="M111">
        <f t="shared" si="5"/>
        <v>-0.67325603072317253</v>
      </c>
      <c r="N111">
        <f t="shared" si="5"/>
        <v>1.4275933800338072</v>
      </c>
      <c r="O111">
        <f t="shared" si="3"/>
        <v>-0.81507387040370849</v>
      </c>
    </row>
    <row r="112" spans="1:15" x14ac:dyDescent="0.4">
      <c r="A112">
        <v>22</v>
      </c>
      <c r="B112">
        <v>4</v>
      </c>
      <c r="C112">
        <v>108</v>
      </c>
      <c r="D112" t="s">
        <v>360</v>
      </c>
      <c r="E112">
        <v>2379</v>
      </c>
      <c r="F112">
        <v>16.5</v>
      </c>
      <c r="G112">
        <v>73</v>
      </c>
      <c r="H112">
        <v>3</v>
      </c>
      <c r="I112" t="s">
        <v>93</v>
      </c>
      <c r="J112">
        <f t="shared" si="4"/>
        <v>-0.85632057097941794</v>
      </c>
      <c r="K112">
        <f t="shared" si="5"/>
        <v>-0.82030817827759495</v>
      </c>
      <c r="L112" t="e">
        <f t="shared" si="5"/>
        <v>#DIV/0!</v>
      </c>
      <c r="M112">
        <f t="shared" si="5"/>
        <v>-0.69926760815526301</v>
      </c>
      <c r="N112">
        <f t="shared" si="5"/>
        <v>0.3383566903026044</v>
      </c>
      <c r="O112">
        <f t="shared" si="3"/>
        <v>-0.81507387040370849</v>
      </c>
    </row>
    <row r="113" spans="1:15" x14ac:dyDescent="0.4">
      <c r="A113">
        <v>18</v>
      </c>
      <c r="B113">
        <v>3</v>
      </c>
      <c r="C113">
        <v>70</v>
      </c>
      <c r="D113" t="s">
        <v>331</v>
      </c>
      <c r="E113">
        <v>2124</v>
      </c>
      <c r="F113">
        <v>13.5</v>
      </c>
      <c r="G113">
        <v>73</v>
      </c>
      <c r="H113">
        <v>3</v>
      </c>
      <c r="I113" t="s">
        <v>94</v>
      </c>
      <c r="J113">
        <f t="shared" si="4"/>
        <v>-1.4449485282329728</v>
      </c>
      <c r="K113">
        <f t="shared" si="5"/>
        <v>-1.1852059234876817</v>
      </c>
      <c r="L113" t="e">
        <f t="shared" si="5"/>
        <v>#DIV/0!</v>
      </c>
      <c r="M113">
        <f t="shared" si="5"/>
        <v>-1.0007654374817663</v>
      </c>
      <c r="N113">
        <f t="shared" si="5"/>
        <v>-0.75087999942859829</v>
      </c>
      <c r="O113">
        <f t="shared" si="3"/>
        <v>-0.81507387040370849</v>
      </c>
    </row>
    <row r="114" spans="1:15" x14ac:dyDescent="0.4">
      <c r="A114">
        <v>19</v>
      </c>
      <c r="B114">
        <v>4</v>
      </c>
      <c r="C114">
        <v>122</v>
      </c>
      <c r="D114" t="s">
        <v>327</v>
      </c>
      <c r="E114">
        <v>2310</v>
      </c>
      <c r="F114">
        <v>18.5</v>
      </c>
      <c r="G114">
        <v>73</v>
      </c>
      <c r="H114">
        <v>1</v>
      </c>
      <c r="I114" t="s">
        <v>31</v>
      </c>
      <c r="J114">
        <f t="shared" si="4"/>
        <v>-0.85632057097941794</v>
      </c>
      <c r="K114">
        <f t="shared" si="5"/>
        <v>-0.685872166884405</v>
      </c>
      <c r="L114" t="e">
        <f t="shared" si="5"/>
        <v>#DIV/0!</v>
      </c>
      <c r="M114">
        <f t="shared" si="5"/>
        <v>-0.78084937373772856</v>
      </c>
      <c r="N114">
        <f t="shared" si="5"/>
        <v>1.0645144834567395</v>
      </c>
      <c r="O114">
        <f t="shared" si="3"/>
        <v>-0.81507387040370849</v>
      </c>
    </row>
    <row r="115" spans="1:15" x14ac:dyDescent="0.4">
      <c r="A115">
        <v>21</v>
      </c>
      <c r="B115">
        <v>6</v>
      </c>
      <c r="C115">
        <v>155</v>
      </c>
      <c r="D115" t="s">
        <v>361</v>
      </c>
      <c r="E115">
        <v>2472</v>
      </c>
      <c r="F115">
        <v>14</v>
      </c>
      <c r="G115">
        <v>73</v>
      </c>
      <c r="H115">
        <v>1</v>
      </c>
      <c r="I115" t="s">
        <v>95</v>
      </c>
      <c r="J115">
        <f t="shared" si="4"/>
        <v>0.3209353435276921</v>
      </c>
      <c r="K115">
        <f t="shared" si="5"/>
        <v>-0.36898728288617177</v>
      </c>
      <c r="L115" t="e">
        <f t="shared" si="5"/>
        <v>#DIV/0!</v>
      </c>
      <c r="M115">
        <f t="shared" si="5"/>
        <v>-0.5893095762832441</v>
      </c>
      <c r="N115">
        <f t="shared" si="5"/>
        <v>-0.56934055114006443</v>
      </c>
      <c r="O115">
        <f t="shared" si="3"/>
        <v>-0.81507387040370849</v>
      </c>
    </row>
    <row r="116" spans="1:15" x14ac:dyDescent="0.4">
      <c r="A116">
        <v>26</v>
      </c>
      <c r="B116">
        <v>4</v>
      </c>
      <c r="C116">
        <v>98</v>
      </c>
      <c r="D116" t="s">
        <v>331</v>
      </c>
      <c r="E116">
        <v>2265</v>
      </c>
      <c r="F116">
        <v>15.5</v>
      </c>
      <c r="G116">
        <v>73</v>
      </c>
      <c r="H116">
        <v>2</v>
      </c>
      <c r="I116" t="s">
        <v>96</v>
      </c>
      <c r="J116">
        <f t="shared" si="4"/>
        <v>-0.85632057097941794</v>
      </c>
      <c r="K116">
        <f t="shared" si="5"/>
        <v>-0.91633390070130194</v>
      </c>
      <c r="L116" t="e">
        <f t="shared" si="5"/>
        <v>#DIV/0!</v>
      </c>
      <c r="M116">
        <f t="shared" si="5"/>
        <v>-0.83405487303064085</v>
      </c>
      <c r="N116">
        <f t="shared" si="5"/>
        <v>-2.4722206274463136E-2</v>
      </c>
      <c r="O116">
        <f t="shared" si="3"/>
        <v>-0.81507387040370849</v>
      </c>
    </row>
    <row r="117" spans="1:15" x14ac:dyDescent="0.4">
      <c r="A117">
        <v>15</v>
      </c>
      <c r="B117">
        <v>8</v>
      </c>
      <c r="C117">
        <v>350</v>
      </c>
      <c r="D117" t="s">
        <v>356</v>
      </c>
      <c r="E117">
        <v>4082</v>
      </c>
      <c r="F117">
        <v>13</v>
      </c>
      <c r="G117">
        <v>73</v>
      </c>
      <c r="H117">
        <v>1</v>
      </c>
      <c r="I117" t="s">
        <v>97</v>
      </c>
      <c r="J117">
        <f t="shared" si="4"/>
        <v>1.498191258034802</v>
      </c>
      <c r="K117">
        <f t="shared" si="5"/>
        <v>1.5035143043761157</v>
      </c>
      <c r="L117" t="e">
        <f t="shared" si="5"/>
        <v>#DIV/0!</v>
      </c>
      <c r="M117">
        <f t="shared" si="5"/>
        <v>1.3142649539742863</v>
      </c>
      <c r="N117">
        <f t="shared" si="5"/>
        <v>-0.93241944771713203</v>
      </c>
      <c r="O117">
        <f t="shared" si="3"/>
        <v>-0.81507387040370849</v>
      </c>
    </row>
    <row r="118" spans="1:15" x14ac:dyDescent="0.4">
      <c r="A118">
        <v>16</v>
      </c>
      <c r="B118">
        <v>8</v>
      </c>
      <c r="C118">
        <v>400</v>
      </c>
      <c r="D118" t="s">
        <v>362</v>
      </c>
      <c r="E118">
        <v>4278</v>
      </c>
      <c r="F118">
        <v>9.5</v>
      </c>
      <c r="G118">
        <v>73</v>
      </c>
      <c r="H118">
        <v>1</v>
      </c>
      <c r="I118" t="s">
        <v>98</v>
      </c>
      <c r="J118">
        <f t="shared" si="4"/>
        <v>1.498191258034802</v>
      </c>
      <c r="K118">
        <f t="shared" si="5"/>
        <v>1.9836429164946507</v>
      </c>
      <c r="L118" t="e">
        <f t="shared" si="5"/>
        <v>#DIV/0!</v>
      </c>
      <c r="M118">
        <f t="shared" si="5"/>
        <v>1.5460044620056379</v>
      </c>
      <c r="N118">
        <f t="shared" si="5"/>
        <v>-2.2031955857368684</v>
      </c>
      <c r="O118">
        <f t="shared" si="3"/>
        <v>-0.81507387040370849</v>
      </c>
    </row>
    <row r="119" spans="1:15" x14ac:dyDescent="0.4">
      <c r="A119">
        <v>29</v>
      </c>
      <c r="B119">
        <v>4</v>
      </c>
      <c r="C119">
        <v>68</v>
      </c>
      <c r="D119" t="s">
        <v>363</v>
      </c>
      <c r="E119">
        <v>1867</v>
      </c>
      <c r="F119">
        <v>19.5</v>
      </c>
      <c r="G119">
        <v>73</v>
      </c>
      <c r="H119">
        <v>2</v>
      </c>
      <c r="I119" t="s">
        <v>99</v>
      </c>
      <c r="J119">
        <f t="shared" si="4"/>
        <v>-0.85632057097941794</v>
      </c>
      <c r="K119">
        <f t="shared" si="5"/>
        <v>-1.2044110679724231</v>
      </c>
      <c r="L119" t="e">
        <f t="shared" si="5"/>
        <v>#DIV/0!</v>
      </c>
      <c r="M119">
        <f t="shared" si="5"/>
        <v>-1.3046279556657323</v>
      </c>
      <c r="N119">
        <f t="shared" si="5"/>
        <v>1.4275933800338072</v>
      </c>
      <c r="O119">
        <f t="shared" si="3"/>
        <v>-0.81507387040370849</v>
      </c>
    </row>
    <row r="120" spans="1:15" x14ac:dyDescent="0.4">
      <c r="A120">
        <v>24</v>
      </c>
      <c r="B120">
        <v>4</v>
      </c>
      <c r="C120">
        <v>116</v>
      </c>
      <c r="D120" t="s">
        <v>364</v>
      </c>
      <c r="E120">
        <v>2158</v>
      </c>
      <c r="F120">
        <v>15.5</v>
      </c>
      <c r="G120">
        <v>73</v>
      </c>
      <c r="H120">
        <v>2</v>
      </c>
      <c r="I120" t="s">
        <v>100</v>
      </c>
      <c r="J120">
        <f t="shared" si="4"/>
        <v>-0.85632057097941794</v>
      </c>
      <c r="K120">
        <f t="shared" si="5"/>
        <v>-0.74348760033862926</v>
      </c>
      <c r="L120" t="e">
        <f t="shared" si="5"/>
        <v>#DIV/0!</v>
      </c>
      <c r="M120">
        <f t="shared" si="5"/>
        <v>-0.96056572690489916</v>
      </c>
      <c r="N120">
        <f t="shared" si="5"/>
        <v>-2.4722206274463136E-2</v>
      </c>
      <c r="O120">
        <f t="shared" si="3"/>
        <v>-0.81507387040370849</v>
      </c>
    </row>
    <row r="121" spans="1:15" x14ac:dyDescent="0.4">
      <c r="A121">
        <v>20</v>
      </c>
      <c r="B121">
        <v>4</v>
      </c>
      <c r="C121">
        <v>114</v>
      </c>
      <c r="D121" t="s">
        <v>365</v>
      </c>
      <c r="E121">
        <v>2582</v>
      </c>
      <c r="F121">
        <v>14</v>
      </c>
      <c r="G121">
        <v>73</v>
      </c>
      <c r="H121">
        <v>2</v>
      </c>
      <c r="I121" t="s">
        <v>101</v>
      </c>
      <c r="J121">
        <f t="shared" si="4"/>
        <v>-0.85632057097941794</v>
      </c>
      <c r="K121">
        <f t="shared" si="5"/>
        <v>-0.76269274482337068</v>
      </c>
      <c r="L121" t="e">
        <f t="shared" si="5"/>
        <v>#DIV/0!</v>
      </c>
      <c r="M121">
        <f t="shared" si="5"/>
        <v>-0.45925168912279174</v>
      </c>
      <c r="N121">
        <f t="shared" si="5"/>
        <v>-0.56934055114006443</v>
      </c>
      <c r="O121">
        <f t="shared" si="3"/>
        <v>-0.81507387040370849</v>
      </c>
    </row>
    <row r="122" spans="1:15" x14ac:dyDescent="0.4">
      <c r="A122">
        <v>19</v>
      </c>
      <c r="B122">
        <v>4</v>
      </c>
      <c r="C122">
        <v>121</v>
      </c>
      <c r="D122" t="s">
        <v>354</v>
      </c>
      <c r="E122">
        <v>2868</v>
      </c>
      <c r="F122">
        <v>15.5</v>
      </c>
      <c r="G122">
        <v>73</v>
      </c>
      <c r="H122">
        <v>2</v>
      </c>
      <c r="I122" t="s">
        <v>102</v>
      </c>
      <c r="J122">
        <f t="shared" si="4"/>
        <v>-0.85632057097941794</v>
      </c>
      <c r="K122">
        <f t="shared" si="5"/>
        <v>-0.69547473912677571</v>
      </c>
      <c r="L122" t="e">
        <f t="shared" si="5"/>
        <v>#DIV/0!</v>
      </c>
      <c r="M122">
        <f t="shared" si="5"/>
        <v>-0.12110118250561554</v>
      </c>
      <c r="N122">
        <f t="shared" si="5"/>
        <v>-2.4722206274463136E-2</v>
      </c>
      <c r="O122">
        <f t="shared" si="3"/>
        <v>-0.81507387040370849</v>
      </c>
    </row>
    <row r="123" spans="1:15" x14ac:dyDescent="0.4">
      <c r="A123">
        <v>15</v>
      </c>
      <c r="B123">
        <v>8</v>
      </c>
      <c r="C123">
        <v>318</v>
      </c>
      <c r="D123" t="s">
        <v>316</v>
      </c>
      <c r="E123">
        <v>3399</v>
      </c>
      <c r="F123">
        <v>11</v>
      </c>
      <c r="G123">
        <v>73</v>
      </c>
      <c r="H123">
        <v>1</v>
      </c>
      <c r="I123" t="s">
        <v>103</v>
      </c>
      <c r="J123">
        <f t="shared" si="4"/>
        <v>1.498191258034802</v>
      </c>
      <c r="K123">
        <f t="shared" si="5"/>
        <v>1.1962319926202531</v>
      </c>
      <c r="L123" t="e">
        <f t="shared" si="5"/>
        <v>#DIV/0!</v>
      </c>
      <c r="M123">
        <f t="shared" si="5"/>
        <v>0.50672370915075005</v>
      </c>
      <c r="N123">
        <f t="shared" si="5"/>
        <v>-1.6585772408712671</v>
      </c>
      <c r="O123">
        <f t="shared" si="3"/>
        <v>-0.81507387040370849</v>
      </c>
    </row>
    <row r="124" spans="1:15" x14ac:dyDescent="0.4">
      <c r="A124">
        <v>24</v>
      </c>
      <c r="B124">
        <v>4</v>
      </c>
      <c r="C124">
        <v>121</v>
      </c>
      <c r="D124" t="s">
        <v>342</v>
      </c>
      <c r="E124">
        <v>2660</v>
      </c>
      <c r="F124">
        <v>14</v>
      </c>
      <c r="G124">
        <v>73</v>
      </c>
      <c r="H124">
        <v>2</v>
      </c>
      <c r="I124" t="s">
        <v>104</v>
      </c>
      <c r="J124">
        <f t="shared" si="4"/>
        <v>-0.85632057097941794</v>
      </c>
      <c r="K124">
        <f t="shared" si="5"/>
        <v>-0.69547473912677571</v>
      </c>
      <c r="L124" t="e">
        <f t="shared" si="5"/>
        <v>#DIV/0!</v>
      </c>
      <c r="M124">
        <f t="shared" si="5"/>
        <v>-0.36702882368174367</v>
      </c>
      <c r="N124">
        <f t="shared" si="5"/>
        <v>-0.56934055114006443</v>
      </c>
      <c r="O124">
        <f t="shared" si="3"/>
        <v>-0.81507387040370849</v>
      </c>
    </row>
    <row r="125" spans="1:15" x14ac:dyDescent="0.4">
      <c r="A125">
        <v>20</v>
      </c>
      <c r="B125">
        <v>6</v>
      </c>
      <c r="C125">
        <v>156</v>
      </c>
      <c r="D125" t="s">
        <v>366</v>
      </c>
      <c r="E125">
        <v>2807</v>
      </c>
      <c r="F125">
        <v>13.5</v>
      </c>
      <c r="G125">
        <v>73</v>
      </c>
      <c r="H125">
        <v>3</v>
      </c>
      <c r="I125" t="s">
        <v>105</v>
      </c>
      <c r="J125">
        <f t="shared" si="4"/>
        <v>0.3209353435276921</v>
      </c>
      <c r="K125">
        <f t="shared" si="5"/>
        <v>-0.35938471064380106</v>
      </c>
      <c r="L125" t="e">
        <f t="shared" si="5"/>
        <v>#DIV/0!</v>
      </c>
      <c r="M125">
        <f t="shared" si="5"/>
        <v>-0.19322419265823004</v>
      </c>
      <c r="N125">
        <f t="shared" si="5"/>
        <v>-0.75087999942859829</v>
      </c>
      <c r="O125">
        <f t="shared" si="3"/>
        <v>-0.81507387040370849</v>
      </c>
    </row>
    <row r="126" spans="1:15" x14ac:dyDescent="0.4">
      <c r="A126">
        <v>11</v>
      </c>
      <c r="B126">
        <v>8</v>
      </c>
      <c r="C126">
        <v>350</v>
      </c>
      <c r="D126" t="s">
        <v>341</v>
      </c>
      <c r="E126">
        <v>3664</v>
      </c>
      <c r="F126">
        <v>11</v>
      </c>
      <c r="G126">
        <v>73</v>
      </c>
      <c r="H126">
        <v>1</v>
      </c>
      <c r="I126" t="s">
        <v>106</v>
      </c>
      <c r="J126">
        <f t="shared" si="4"/>
        <v>1.498191258034802</v>
      </c>
      <c r="K126">
        <f t="shared" si="5"/>
        <v>1.5035143043761157</v>
      </c>
      <c r="L126" t="e">
        <f t="shared" si="5"/>
        <v>#DIV/0!</v>
      </c>
      <c r="M126">
        <f t="shared" si="5"/>
        <v>0.82004498276456717</v>
      </c>
      <c r="N126">
        <f t="shared" si="5"/>
        <v>-1.6585772408712671</v>
      </c>
      <c r="O126">
        <f t="shared" ref="O126:O189" si="6">(G126-U$2)/U$3</f>
        <v>-0.81507387040370849</v>
      </c>
    </row>
    <row r="127" spans="1:15" x14ac:dyDescent="0.4">
      <c r="A127">
        <v>20</v>
      </c>
      <c r="B127">
        <v>6</v>
      </c>
      <c r="C127">
        <v>198</v>
      </c>
      <c r="D127" t="s">
        <v>325</v>
      </c>
      <c r="E127">
        <v>3102</v>
      </c>
      <c r="F127">
        <v>16.5</v>
      </c>
      <c r="G127">
        <v>74</v>
      </c>
      <c r="H127">
        <v>1</v>
      </c>
      <c r="I127" t="s">
        <v>15</v>
      </c>
      <c r="J127">
        <f t="shared" si="4"/>
        <v>0.3209353435276921</v>
      </c>
      <c r="K127">
        <f t="shared" si="5"/>
        <v>4.3923323535768506E-2</v>
      </c>
      <c r="L127" t="e">
        <f t="shared" si="5"/>
        <v>#DIV/0!</v>
      </c>
      <c r="M127">
        <f t="shared" si="5"/>
        <v>0.15556741381752864</v>
      </c>
      <c r="N127">
        <f t="shared" si="5"/>
        <v>0.3383566903026044</v>
      </c>
      <c r="O127">
        <f t="shared" si="6"/>
        <v>-0.54428972981883761</v>
      </c>
    </row>
    <row r="128" spans="1:15" x14ac:dyDescent="0.4">
      <c r="A128">
        <v>21</v>
      </c>
      <c r="B128">
        <v>6</v>
      </c>
      <c r="C128">
        <v>200</v>
      </c>
      <c r="D128" t="s">
        <v>336</v>
      </c>
      <c r="E128">
        <v>2875</v>
      </c>
      <c r="F128">
        <v>17</v>
      </c>
      <c r="G128">
        <v>74</v>
      </c>
      <c r="H128">
        <v>1</v>
      </c>
      <c r="I128" t="s">
        <v>17</v>
      </c>
      <c r="J128">
        <f t="shared" si="4"/>
        <v>0.3209353435276921</v>
      </c>
      <c r="K128">
        <f t="shared" si="5"/>
        <v>6.312846802050992E-2</v>
      </c>
      <c r="L128" t="e">
        <f t="shared" si="5"/>
        <v>#VALUE!</v>
      </c>
      <c r="M128">
        <f t="shared" si="5"/>
        <v>-0.11282477150449584</v>
      </c>
      <c r="N128">
        <f t="shared" si="5"/>
        <v>0.51989613859113826</v>
      </c>
      <c r="O128">
        <f t="shared" si="6"/>
        <v>-0.54428972981883761</v>
      </c>
    </row>
    <row r="129" spans="1:15" x14ac:dyDescent="0.4">
      <c r="A129">
        <v>19</v>
      </c>
      <c r="B129">
        <v>6</v>
      </c>
      <c r="C129">
        <v>232</v>
      </c>
      <c r="D129" t="s">
        <v>337</v>
      </c>
      <c r="E129">
        <v>2901</v>
      </c>
      <c r="F129">
        <v>16</v>
      </c>
      <c r="G129">
        <v>74</v>
      </c>
      <c r="H129">
        <v>1</v>
      </c>
      <c r="I129" t="s">
        <v>16</v>
      </c>
      <c r="J129">
        <f t="shared" si="4"/>
        <v>0.3209353435276921</v>
      </c>
      <c r="K129">
        <f t="shared" si="5"/>
        <v>0.37041077977637243</v>
      </c>
      <c r="L129" t="e">
        <f t="shared" si="5"/>
        <v>#DIV/0!</v>
      </c>
      <c r="M129">
        <f t="shared" si="5"/>
        <v>-8.2083816357479814E-2</v>
      </c>
      <c r="N129">
        <f t="shared" si="5"/>
        <v>0.15681724201407066</v>
      </c>
      <c r="O129">
        <f t="shared" si="6"/>
        <v>-0.54428972981883761</v>
      </c>
    </row>
    <row r="130" spans="1:15" x14ac:dyDescent="0.4">
      <c r="A130">
        <v>15</v>
      </c>
      <c r="B130">
        <v>6</v>
      </c>
      <c r="C130">
        <v>250</v>
      </c>
      <c r="D130" t="s">
        <v>337</v>
      </c>
      <c r="E130">
        <v>3336</v>
      </c>
      <c r="F130">
        <v>17</v>
      </c>
      <c r="G130">
        <v>74</v>
      </c>
      <c r="H130">
        <v>1</v>
      </c>
      <c r="I130" t="s">
        <v>107</v>
      </c>
      <c r="J130">
        <f t="shared" si="4"/>
        <v>0.3209353435276921</v>
      </c>
      <c r="K130">
        <f t="shared" si="5"/>
        <v>0.54325708013904517</v>
      </c>
      <c r="L130" t="e">
        <f t="shared" si="5"/>
        <v>#DIV/0!</v>
      </c>
      <c r="M130">
        <f t="shared" si="5"/>
        <v>0.43223601014067281</v>
      </c>
      <c r="N130">
        <f t="shared" ref="N130:O193" si="7">(F130-T$2)/T$3</f>
        <v>0.51989613859113826</v>
      </c>
      <c r="O130">
        <f t="shared" si="6"/>
        <v>-0.54428972981883761</v>
      </c>
    </row>
    <row r="131" spans="1:15" x14ac:dyDescent="0.4">
      <c r="A131">
        <v>31</v>
      </c>
      <c r="B131">
        <v>4</v>
      </c>
      <c r="C131">
        <v>79</v>
      </c>
      <c r="D131" t="s">
        <v>367</v>
      </c>
      <c r="E131">
        <v>1950</v>
      </c>
      <c r="F131">
        <v>19</v>
      </c>
      <c r="G131">
        <v>74</v>
      </c>
      <c r="H131">
        <v>3</v>
      </c>
      <c r="I131" t="s">
        <v>108</v>
      </c>
      <c r="J131">
        <f t="shared" ref="J131:J194" si="8">(B131-P$2)/P$3</f>
        <v>-0.85632057097941794</v>
      </c>
      <c r="K131">
        <f t="shared" ref="K131:O194" si="9">(C131-Q$2)/Q$3</f>
        <v>-1.0987827733063453</v>
      </c>
      <c r="L131" t="e">
        <f t="shared" si="9"/>
        <v>#DIV/0!</v>
      </c>
      <c r="M131">
        <f t="shared" si="9"/>
        <v>-1.2064933680810273</v>
      </c>
      <c r="N131">
        <f t="shared" si="7"/>
        <v>1.2460539317452732</v>
      </c>
      <c r="O131">
        <f t="shared" si="6"/>
        <v>-0.54428972981883761</v>
      </c>
    </row>
    <row r="132" spans="1:15" x14ac:dyDescent="0.4">
      <c r="A132">
        <v>26</v>
      </c>
      <c r="B132">
        <v>4</v>
      </c>
      <c r="C132">
        <v>122</v>
      </c>
      <c r="D132" t="s">
        <v>350</v>
      </c>
      <c r="E132">
        <v>2451</v>
      </c>
      <c r="F132">
        <v>16.5</v>
      </c>
      <c r="G132">
        <v>74</v>
      </c>
      <c r="H132">
        <v>1</v>
      </c>
      <c r="I132" t="s">
        <v>31</v>
      </c>
      <c r="J132">
        <f t="shared" si="8"/>
        <v>-0.85632057097941794</v>
      </c>
      <c r="K132">
        <f t="shared" si="9"/>
        <v>-0.685872166884405</v>
      </c>
      <c r="L132" t="e">
        <f t="shared" si="9"/>
        <v>#DIV/0!</v>
      </c>
      <c r="M132">
        <f t="shared" si="9"/>
        <v>-0.61413880928660325</v>
      </c>
      <c r="N132">
        <f t="shared" si="7"/>
        <v>0.3383566903026044</v>
      </c>
      <c r="O132">
        <f t="shared" si="6"/>
        <v>-0.54428972981883761</v>
      </c>
    </row>
    <row r="133" spans="1:15" x14ac:dyDescent="0.4">
      <c r="A133">
        <v>32</v>
      </c>
      <c r="B133">
        <v>4</v>
      </c>
      <c r="C133">
        <v>71</v>
      </c>
      <c r="D133" t="s">
        <v>347</v>
      </c>
      <c r="E133">
        <v>1836</v>
      </c>
      <c r="F133">
        <v>21</v>
      </c>
      <c r="G133">
        <v>74</v>
      </c>
      <c r="H133">
        <v>3</v>
      </c>
      <c r="I133" t="s">
        <v>47</v>
      </c>
      <c r="J133">
        <f t="shared" si="8"/>
        <v>-0.85632057097941794</v>
      </c>
      <c r="K133">
        <f t="shared" si="9"/>
        <v>-1.175603351245311</v>
      </c>
      <c r="L133" t="e">
        <f t="shared" si="9"/>
        <v>#DIV/0!</v>
      </c>
      <c r="M133">
        <f t="shared" si="9"/>
        <v>-1.3412806329564051</v>
      </c>
      <c r="N133">
        <f t="shared" si="7"/>
        <v>1.9722117248994084</v>
      </c>
      <c r="O133">
        <f t="shared" si="6"/>
        <v>-0.54428972981883761</v>
      </c>
    </row>
    <row r="134" spans="1:15" x14ac:dyDescent="0.4">
      <c r="A134">
        <v>25</v>
      </c>
      <c r="B134">
        <v>4</v>
      </c>
      <c r="C134">
        <v>140</v>
      </c>
      <c r="D134" t="s">
        <v>364</v>
      </c>
      <c r="E134">
        <v>2542</v>
      </c>
      <c r="F134">
        <v>17</v>
      </c>
      <c r="G134">
        <v>74</v>
      </c>
      <c r="H134">
        <v>1</v>
      </c>
      <c r="I134" t="s">
        <v>54</v>
      </c>
      <c r="J134">
        <f t="shared" si="8"/>
        <v>-0.85632057097941794</v>
      </c>
      <c r="K134">
        <f t="shared" si="9"/>
        <v>-0.51302586652173232</v>
      </c>
      <c r="L134" t="e">
        <f t="shared" si="9"/>
        <v>#DIV/0!</v>
      </c>
      <c r="M134">
        <f t="shared" si="9"/>
        <v>-0.50654546627204711</v>
      </c>
      <c r="N134">
        <f t="shared" si="7"/>
        <v>0.51989613859113826</v>
      </c>
      <c r="O134">
        <f t="shared" si="6"/>
        <v>-0.54428972981883761</v>
      </c>
    </row>
    <row r="135" spans="1:15" x14ac:dyDescent="0.4">
      <c r="A135">
        <v>16</v>
      </c>
      <c r="B135">
        <v>6</v>
      </c>
      <c r="C135">
        <v>250</v>
      </c>
      <c r="D135" t="s">
        <v>337</v>
      </c>
      <c r="E135">
        <v>3781</v>
      </c>
      <c r="F135">
        <v>17</v>
      </c>
      <c r="G135">
        <v>74</v>
      </c>
      <c r="H135">
        <v>1</v>
      </c>
      <c r="I135" t="s">
        <v>109</v>
      </c>
      <c r="J135">
        <f t="shared" si="8"/>
        <v>0.3209353435276921</v>
      </c>
      <c r="K135">
        <f t="shared" si="9"/>
        <v>0.54325708013904517</v>
      </c>
      <c r="L135" t="e">
        <f t="shared" si="9"/>
        <v>#DIV/0!</v>
      </c>
      <c r="M135">
        <f t="shared" si="9"/>
        <v>0.95837928092613933</v>
      </c>
      <c r="N135">
        <f t="shared" si="7"/>
        <v>0.51989613859113826</v>
      </c>
      <c r="O135">
        <f t="shared" si="6"/>
        <v>-0.54428972981883761</v>
      </c>
    </row>
    <row r="136" spans="1:15" x14ac:dyDescent="0.4">
      <c r="A136">
        <v>16</v>
      </c>
      <c r="B136">
        <v>6</v>
      </c>
      <c r="C136">
        <v>258</v>
      </c>
      <c r="D136" t="s">
        <v>342</v>
      </c>
      <c r="E136">
        <v>3632</v>
      </c>
      <c r="F136">
        <v>18</v>
      </c>
      <c r="G136">
        <v>74</v>
      </c>
      <c r="H136">
        <v>1</v>
      </c>
      <c r="I136" t="s">
        <v>34</v>
      </c>
      <c r="J136">
        <f t="shared" si="8"/>
        <v>0.3209353435276921</v>
      </c>
      <c r="K136">
        <f t="shared" si="9"/>
        <v>0.62007765807801074</v>
      </c>
      <c r="L136" t="e">
        <f t="shared" si="9"/>
        <v>#DIV/0!</v>
      </c>
      <c r="M136">
        <f t="shared" si="9"/>
        <v>0.78220996104516283</v>
      </c>
      <c r="N136">
        <f t="shared" si="7"/>
        <v>0.88297503516820575</v>
      </c>
      <c r="O136">
        <f t="shared" si="6"/>
        <v>-0.54428972981883761</v>
      </c>
    </row>
    <row r="137" spans="1:15" x14ac:dyDescent="0.4">
      <c r="A137">
        <v>18</v>
      </c>
      <c r="B137">
        <v>6</v>
      </c>
      <c r="C137">
        <v>225</v>
      </c>
      <c r="D137" t="s">
        <v>338</v>
      </c>
      <c r="E137">
        <v>3613</v>
      </c>
      <c r="F137">
        <v>16.5</v>
      </c>
      <c r="G137">
        <v>74</v>
      </c>
      <c r="H137">
        <v>1</v>
      </c>
      <c r="I137" t="s">
        <v>110</v>
      </c>
      <c r="J137">
        <f t="shared" si="8"/>
        <v>0.3209353435276921</v>
      </c>
      <c r="K137">
        <f t="shared" si="9"/>
        <v>0.30319277407977752</v>
      </c>
      <c r="L137" t="e">
        <f t="shared" si="9"/>
        <v>#DIV/0!</v>
      </c>
      <c r="M137">
        <f t="shared" si="9"/>
        <v>0.75974541689926656</v>
      </c>
      <c r="N137">
        <f t="shared" si="7"/>
        <v>0.3383566903026044</v>
      </c>
      <c r="O137">
        <f t="shared" si="6"/>
        <v>-0.54428972981883761</v>
      </c>
    </row>
    <row r="138" spans="1:15" x14ac:dyDescent="0.4">
      <c r="A138">
        <v>16</v>
      </c>
      <c r="B138">
        <v>8</v>
      </c>
      <c r="C138">
        <v>302</v>
      </c>
      <c r="D138" t="s">
        <v>317</v>
      </c>
      <c r="E138">
        <v>4141</v>
      </c>
      <c r="F138">
        <v>14</v>
      </c>
      <c r="G138">
        <v>74</v>
      </c>
      <c r="H138">
        <v>1</v>
      </c>
      <c r="I138" t="s">
        <v>77</v>
      </c>
      <c r="J138">
        <f t="shared" si="8"/>
        <v>1.498191258034802</v>
      </c>
      <c r="K138">
        <f t="shared" si="9"/>
        <v>1.0425908367423218</v>
      </c>
      <c r="L138" t="e">
        <f t="shared" si="9"/>
        <v>#DIV/0!</v>
      </c>
      <c r="M138">
        <f t="shared" si="9"/>
        <v>1.3840232752694379</v>
      </c>
      <c r="N138">
        <f t="shared" si="7"/>
        <v>-0.56934055114006443</v>
      </c>
      <c r="O138">
        <f t="shared" si="6"/>
        <v>-0.54428972981883761</v>
      </c>
    </row>
    <row r="139" spans="1:15" x14ac:dyDescent="0.4">
      <c r="A139">
        <v>13</v>
      </c>
      <c r="B139">
        <v>8</v>
      </c>
      <c r="C139">
        <v>350</v>
      </c>
      <c r="D139" t="s">
        <v>316</v>
      </c>
      <c r="E139">
        <v>4699</v>
      </c>
      <c r="F139">
        <v>14.5</v>
      </c>
      <c r="G139">
        <v>74</v>
      </c>
      <c r="H139">
        <v>1</v>
      </c>
      <c r="I139" t="s">
        <v>111</v>
      </c>
      <c r="J139">
        <f t="shared" si="8"/>
        <v>1.498191258034802</v>
      </c>
      <c r="K139">
        <f t="shared" si="9"/>
        <v>1.5035143043761157</v>
      </c>
      <c r="L139" t="e">
        <f t="shared" si="9"/>
        <v>#DIV/0!</v>
      </c>
      <c r="M139">
        <f t="shared" si="9"/>
        <v>2.0437714665015512</v>
      </c>
      <c r="N139">
        <f t="shared" si="7"/>
        <v>-0.38780110285153069</v>
      </c>
      <c r="O139">
        <f t="shared" si="6"/>
        <v>-0.54428972981883761</v>
      </c>
    </row>
    <row r="140" spans="1:15" x14ac:dyDescent="0.4">
      <c r="A140">
        <v>14</v>
      </c>
      <c r="B140">
        <v>8</v>
      </c>
      <c r="C140">
        <v>318</v>
      </c>
      <c r="D140" t="s">
        <v>316</v>
      </c>
      <c r="E140">
        <v>4457</v>
      </c>
      <c r="F140">
        <v>13.5</v>
      </c>
      <c r="G140">
        <v>74</v>
      </c>
      <c r="H140">
        <v>1</v>
      </c>
      <c r="I140" t="s">
        <v>112</v>
      </c>
      <c r="J140">
        <f t="shared" si="8"/>
        <v>1.498191258034802</v>
      </c>
      <c r="K140">
        <f t="shared" si="9"/>
        <v>1.1962319926202531</v>
      </c>
      <c r="L140" t="e">
        <f t="shared" si="9"/>
        <v>#DIV/0!</v>
      </c>
      <c r="M140">
        <f t="shared" si="9"/>
        <v>1.7576441147485558</v>
      </c>
      <c r="N140">
        <f t="shared" si="7"/>
        <v>-0.75087999942859829</v>
      </c>
      <c r="O140">
        <f t="shared" si="6"/>
        <v>-0.54428972981883761</v>
      </c>
    </row>
    <row r="141" spans="1:15" x14ac:dyDescent="0.4">
      <c r="A141">
        <v>14</v>
      </c>
      <c r="B141">
        <v>8</v>
      </c>
      <c r="C141">
        <v>302</v>
      </c>
      <c r="D141" t="s">
        <v>317</v>
      </c>
      <c r="E141">
        <v>4638</v>
      </c>
      <c r="F141">
        <v>16</v>
      </c>
      <c r="G141">
        <v>74</v>
      </c>
      <c r="H141">
        <v>1</v>
      </c>
      <c r="I141" t="s">
        <v>64</v>
      </c>
      <c r="J141">
        <f t="shared" si="8"/>
        <v>1.498191258034802</v>
      </c>
      <c r="K141">
        <f t="shared" si="9"/>
        <v>1.0425908367423218</v>
      </c>
      <c r="L141" t="e">
        <f t="shared" si="9"/>
        <v>#DIV/0!</v>
      </c>
      <c r="M141">
        <f t="shared" si="9"/>
        <v>1.9716484563489365</v>
      </c>
      <c r="N141">
        <f t="shared" si="7"/>
        <v>0.15681724201407066</v>
      </c>
      <c r="O141">
        <f t="shared" si="6"/>
        <v>-0.54428972981883761</v>
      </c>
    </row>
    <row r="142" spans="1:15" x14ac:dyDescent="0.4">
      <c r="A142">
        <v>14</v>
      </c>
      <c r="B142">
        <v>8</v>
      </c>
      <c r="C142">
        <v>304</v>
      </c>
      <c r="D142" t="s">
        <v>316</v>
      </c>
      <c r="E142">
        <v>4257</v>
      </c>
      <c r="F142">
        <v>15.5</v>
      </c>
      <c r="G142">
        <v>74</v>
      </c>
      <c r="H142">
        <v>1</v>
      </c>
      <c r="I142" t="s">
        <v>62</v>
      </c>
      <c r="J142">
        <f t="shared" si="8"/>
        <v>1.498191258034802</v>
      </c>
      <c r="K142">
        <f t="shared" si="9"/>
        <v>1.0617959812270632</v>
      </c>
      <c r="L142" t="e">
        <f t="shared" si="9"/>
        <v>#DIV/0!</v>
      </c>
      <c r="M142">
        <f t="shared" si="9"/>
        <v>1.5211752290022786</v>
      </c>
      <c r="N142">
        <f t="shared" si="7"/>
        <v>-2.4722206274463136E-2</v>
      </c>
      <c r="O142">
        <f t="shared" si="6"/>
        <v>-0.54428972981883761</v>
      </c>
    </row>
    <row r="143" spans="1:15" x14ac:dyDescent="0.4">
      <c r="A143">
        <v>29</v>
      </c>
      <c r="B143">
        <v>4</v>
      </c>
      <c r="C143">
        <v>98</v>
      </c>
      <c r="D143" t="s">
        <v>368</v>
      </c>
      <c r="E143">
        <v>2219</v>
      </c>
      <c r="F143">
        <v>16.5</v>
      </c>
      <c r="G143">
        <v>74</v>
      </c>
      <c r="H143">
        <v>2</v>
      </c>
      <c r="I143" t="s">
        <v>113</v>
      </c>
      <c r="J143">
        <f t="shared" si="8"/>
        <v>-0.85632057097941794</v>
      </c>
      <c r="K143">
        <f t="shared" si="9"/>
        <v>-0.91633390070130194</v>
      </c>
      <c r="L143" t="e">
        <f t="shared" si="9"/>
        <v>#DIV/0!</v>
      </c>
      <c r="M143">
        <f t="shared" si="9"/>
        <v>-0.88844271675228459</v>
      </c>
      <c r="N143">
        <f t="shared" si="7"/>
        <v>0.3383566903026044</v>
      </c>
      <c r="O143">
        <f t="shared" si="6"/>
        <v>-0.54428972981883761</v>
      </c>
    </row>
    <row r="144" spans="1:15" x14ac:dyDescent="0.4">
      <c r="A144">
        <v>26</v>
      </c>
      <c r="B144">
        <v>4</v>
      </c>
      <c r="C144">
        <v>79</v>
      </c>
      <c r="D144" t="s">
        <v>367</v>
      </c>
      <c r="E144">
        <v>1963</v>
      </c>
      <c r="F144">
        <v>15.5</v>
      </c>
      <c r="G144">
        <v>74</v>
      </c>
      <c r="H144">
        <v>2</v>
      </c>
      <c r="I144" t="s">
        <v>114</v>
      </c>
      <c r="J144">
        <f t="shared" si="8"/>
        <v>-0.85632057097941794</v>
      </c>
      <c r="K144">
        <f t="shared" si="9"/>
        <v>-1.0987827733063453</v>
      </c>
      <c r="L144" t="e">
        <f t="shared" si="9"/>
        <v>#DIV/0!</v>
      </c>
      <c r="M144">
        <f t="shared" si="9"/>
        <v>-1.1911228905075193</v>
      </c>
      <c r="N144">
        <f t="shared" si="7"/>
        <v>-2.4722206274463136E-2</v>
      </c>
      <c r="O144">
        <f t="shared" si="6"/>
        <v>-0.54428972981883761</v>
      </c>
    </row>
    <row r="145" spans="1:15" x14ac:dyDescent="0.4">
      <c r="A145">
        <v>26</v>
      </c>
      <c r="B145">
        <v>4</v>
      </c>
      <c r="C145">
        <v>97</v>
      </c>
      <c r="D145" t="s">
        <v>369</v>
      </c>
      <c r="E145">
        <v>2300</v>
      </c>
      <c r="F145">
        <v>14.5</v>
      </c>
      <c r="G145">
        <v>74</v>
      </c>
      <c r="H145">
        <v>2</v>
      </c>
      <c r="I145" t="s">
        <v>100</v>
      </c>
      <c r="J145">
        <f t="shared" si="8"/>
        <v>-0.85632057097941794</v>
      </c>
      <c r="K145">
        <f t="shared" si="9"/>
        <v>-0.92593647294367265</v>
      </c>
      <c r="L145" t="e">
        <f t="shared" si="9"/>
        <v>#DIV/0!</v>
      </c>
      <c r="M145">
        <f t="shared" si="9"/>
        <v>-0.79267281802504241</v>
      </c>
      <c r="N145">
        <f t="shared" si="7"/>
        <v>-0.38780110285153069</v>
      </c>
      <c r="O145">
        <f t="shared" si="6"/>
        <v>-0.54428972981883761</v>
      </c>
    </row>
    <row r="146" spans="1:15" x14ac:dyDescent="0.4">
      <c r="A146">
        <v>31</v>
      </c>
      <c r="B146">
        <v>4</v>
      </c>
      <c r="C146">
        <v>76</v>
      </c>
      <c r="D146" t="s">
        <v>370</v>
      </c>
      <c r="E146">
        <v>1649</v>
      </c>
      <c r="F146">
        <v>16.5</v>
      </c>
      <c r="G146">
        <v>74</v>
      </c>
      <c r="H146">
        <v>3</v>
      </c>
      <c r="I146" t="s">
        <v>30</v>
      </c>
      <c r="J146">
        <f t="shared" si="8"/>
        <v>-0.85632057097941794</v>
      </c>
      <c r="K146">
        <f t="shared" si="9"/>
        <v>-1.1275904900334575</v>
      </c>
      <c r="L146" t="e">
        <f t="shared" si="9"/>
        <v>#DIV/0!</v>
      </c>
      <c r="M146">
        <f t="shared" si="9"/>
        <v>-1.5623790411291743</v>
      </c>
      <c r="N146">
        <f t="shared" si="7"/>
        <v>0.3383566903026044</v>
      </c>
      <c r="O146">
        <f t="shared" si="6"/>
        <v>-0.54428972981883761</v>
      </c>
    </row>
    <row r="147" spans="1:15" x14ac:dyDescent="0.4">
      <c r="A147">
        <v>32</v>
      </c>
      <c r="B147">
        <v>4</v>
      </c>
      <c r="C147">
        <v>83</v>
      </c>
      <c r="D147" t="s">
        <v>371</v>
      </c>
      <c r="E147">
        <v>2003</v>
      </c>
      <c r="F147">
        <v>19</v>
      </c>
      <c r="G147">
        <v>74</v>
      </c>
      <c r="H147">
        <v>3</v>
      </c>
      <c r="I147" t="s">
        <v>115</v>
      </c>
      <c r="J147">
        <f t="shared" si="8"/>
        <v>-0.85632057097941794</v>
      </c>
      <c r="K147">
        <f t="shared" si="9"/>
        <v>-1.0603724843368625</v>
      </c>
      <c r="L147" t="e">
        <f t="shared" si="9"/>
        <v>#DIV/0!</v>
      </c>
      <c r="M147">
        <f t="shared" si="9"/>
        <v>-1.1438291133582639</v>
      </c>
      <c r="N147">
        <f t="shared" si="7"/>
        <v>1.2460539317452732</v>
      </c>
      <c r="O147">
        <f t="shared" si="6"/>
        <v>-0.54428972981883761</v>
      </c>
    </row>
    <row r="148" spans="1:15" x14ac:dyDescent="0.4">
      <c r="A148">
        <v>28</v>
      </c>
      <c r="B148">
        <v>4</v>
      </c>
      <c r="C148">
        <v>90</v>
      </c>
      <c r="D148" t="s">
        <v>364</v>
      </c>
      <c r="E148">
        <v>2125</v>
      </c>
      <c r="F148">
        <v>14.5</v>
      </c>
      <c r="G148">
        <v>74</v>
      </c>
      <c r="H148">
        <v>1</v>
      </c>
      <c r="I148" t="s">
        <v>116</v>
      </c>
      <c r="J148">
        <f t="shared" si="8"/>
        <v>-0.85632057097941794</v>
      </c>
      <c r="K148">
        <f t="shared" si="9"/>
        <v>-0.99315447864026762</v>
      </c>
      <c r="L148" t="e">
        <f t="shared" si="9"/>
        <v>#DIV/0!</v>
      </c>
      <c r="M148">
        <f t="shared" si="9"/>
        <v>-0.99958309305303483</v>
      </c>
      <c r="N148">
        <f t="shared" si="7"/>
        <v>-0.38780110285153069</v>
      </c>
      <c r="O148">
        <f t="shared" si="6"/>
        <v>-0.54428972981883761</v>
      </c>
    </row>
    <row r="149" spans="1:15" x14ac:dyDescent="0.4">
      <c r="A149">
        <v>24</v>
      </c>
      <c r="B149">
        <v>4</v>
      </c>
      <c r="C149">
        <v>90</v>
      </c>
      <c r="D149" t="s">
        <v>364</v>
      </c>
      <c r="E149">
        <v>2108</v>
      </c>
      <c r="F149">
        <v>15.5</v>
      </c>
      <c r="G149">
        <v>74</v>
      </c>
      <c r="H149">
        <v>2</v>
      </c>
      <c r="I149" t="s">
        <v>99</v>
      </c>
      <c r="J149">
        <f t="shared" si="8"/>
        <v>-0.85632057097941794</v>
      </c>
      <c r="K149">
        <f t="shared" si="9"/>
        <v>-0.99315447864026762</v>
      </c>
      <c r="L149" t="e">
        <f t="shared" si="9"/>
        <v>#DIV/0!</v>
      </c>
      <c r="M149">
        <f t="shared" si="9"/>
        <v>-1.0196829483414684</v>
      </c>
      <c r="N149">
        <f t="shared" si="7"/>
        <v>-2.4722206274463136E-2</v>
      </c>
      <c r="O149">
        <f t="shared" si="6"/>
        <v>-0.54428972981883761</v>
      </c>
    </row>
    <row r="150" spans="1:15" x14ac:dyDescent="0.4">
      <c r="A150">
        <v>26</v>
      </c>
      <c r="B150">
        <v>4</v>
      </c>
      <c r="C150">
        <v>116</v>
      </c>
      <c r="D150" t="s">
        <v>364</v>
      </c>
      <c r="E150">
        <v>2246</v>
      </c>
      <c r="F150">
        <v>14</v>
      </c>
      <c r="G150">
        <v>74</v>
      </c>
      <c r="H150">
        <v>2</v>
      </c>
      <c r="I150" t="s">
        <v>117</v>
      </c>
      <c r="J150">
        <f t="shared" si="8"/>
        <v>-0.85632057097941794</v>
      </c>
      <c r="K150">
        <f t="shared" si="9"/>
        <v>-0.74348760033862926</v>
      </c>
      <c r="L150" t="e">
        <f t="shared" si="9"/>
        <v>#DIV/0!</v>
      </c>
      <c r="M150">
        <f t="shared" si="9"/>
        <v>-0.85651941717653723</v>
      </c>
      <c r="N150">
        <f t="shared" si="7"/>
        <v>-0.56934055114006443</v>
      </c>
      <c r="O150">
        <f t="shared" si="6"/>
        <v>-0.54428972981883761</v>
      </c>
    </row>
    <row r="151" spans="1:15" x14ac:dyDescent="0.4">
      <c r="A151">
        <v>24</v>
      </c>
      <c r="B151">
        <v>4</v>
      </c>
      <c r="C151">
        <v>120</v>
      </c>
      <c r="D151" t="s">
        <v>326</v>
      </c>
      <c r="E151">
        <v>2489</v>
      </c>
      <c r="F151">
        <v>15</v>
      </c>
      <c r="G151">
        <v>74</v>
      </c>
      <c r="H151">
        <v>3</v>
      </c>
      <c r="I151" t="s">
        <v>118</v>
      </c>
      <c r="J151">
        <f t="shared" si="8"/>
        <v>-0.85632057097941794</v>
      </c>
      <c r="K151">
        <f t="shared" si="9"/>
        <v>-0.70507731136914642</v>
      </c>
      <c r="L151" t="e">
        <f t="shared" si="9"/>
        <v>#DIV/0!</v>
      </c>
      <c r="M151">
        <f t="shared" si="9"/>
        <v>-0.5692097209948106</v>
      </c>
      <c r="N151">
        <f t="shared" si="7"/>
        <v>-0.20626165456299692</v>
      </c>
      <c r="O151">
        <f t="shared" si="6"/>
        <v>-0.54428972981883761</v>
      </c>
    </row>
    <row r="152" spans="1:15" x14ac:dyDescent="0.4">
      <c r="A152">
        <v>26</v>
      </c>
      <c r="B152">
        <v>4</v>
      </c>
      <c r="C152">
        <v>108</v>
      </c>
      <c r="D152" t="s">
        <v>372</v>
      </c>
      <c r="E152">
        <v>2391</v>
      </c>
      <c r="F152">
        <v>15.5</v>
      </c>
      <c r="G152">
        <v>74</v>
      </c>
      <c r="H152">
        <v>3</v>
      </c>
      <c r="I152" t="s">
        <v>119</v>
      </c>
      <c r="J152">
        <f t="shared" si="8"/>
        <v>-0.85632057097941794</v>
      </c>
      <c r="K152">
        <f t="shared" si="9"/>
        <v>-0.82030817827759495</v>
      </c>
      <c r="L152" t="e">
        <f t="shared" si="9"/>
        <v>#DIV/0!</v>
      </c>
      <c r="M152">
        <f t="shared" si="9"/>
        <v>-0.68507947501048638</v>
      </c>
      <c r="N152">
        <f t="shared" si="7"/>
        <v>-2.4722206274463136E-2</v>
      </c>
      <c r="O152">
        <f t="shared" si="6"/>
        <v>-0.54428972981883761</v>
      </c>
    </row>
    <row r="153" spans="1:15" x14ac:dyDescent="0.4">
      <c r="A153">
        <v>31</v>
      </c>
      <c r="B153">
        <v>4</v>
      </c>
      <c r="C153">
        <v>79</v>
      </c>
      <c r="D153" t="s">
        <v>367</v>
      </c>
      <c r="E153">
        <v>2000</v>
      </c>
      <c r="F153">
        <v>16</v>
      </c>
      <c r="G153">
        <v>74</v>
      </c>
      <c r="H153">
        <v>2</v>
      </c>
      <c r="I153" t="s">
        <v>120</v>
      </c>
      <c r="J153">
        <f t="shared" si="8"/>
        <v>-0.85632057097941794</v>
      </c>
      <c r="K153">
        <f t="shared" si="9"/>
        <v>-1.0987827733063453</v>
      </c>
      <c r="L153" t="e">
        <f t="shared" si="9"/>
        <v>#DIV/0!</v>
      </c>
      <c r="M153">
        <f t="shared" si="9"/>
        <v>-1.1473761466444581</v>
      </c>
      <c r="N153">
        <f t="shared" si="7"/>
        <v>0.15681724201407066</v>
      </c>
      <c r="O153">
        <f t="shared" si="6"/>
        <v>-0.54428972981883761</v>
      </c>
    </row>
    <row r="154" spans="1:15" x14ac:dyDescent="0.4">
      <c r="A154">
        <v>19</v>
      </c>
      <c r="B154">
        <v>6</v>
      </c>
      <c r="C154">
        <v>225</v>
      </c>
      <c r="D154" t="s">
        <v>325</v>
      </c>
      <c r="E154">
        <v>3264</v>
      </c>
      <c r="F154">
        <v>16</v>
      </c>
      <c r="G154">
        <v>75</v>
      </c>
      <c r="H154">
        <v>1</v>
      </c>
      <c r="I154" t="s">
        <v>121</v>
      </c>
      <c r="J154">
        <f t="shared" si="8"/>
        <v>0.3209353435276921</v>
      </c>
      <c r="K154">
        <f t="shared" si="9"/>
        <v>0.30319277407977752</v>
      </c>
      <c r="L154" t="e">
        <f t="shared" si="9"/>
        <v>#DIV/0!</v>
      </c>
      <c r="M154">
        <f t="shared" si="9"/>
        <v>0.34710721127201305</v>
      </c>
      <c r="N154">
        <f t="shared" si="7"/>
        <v>0.15681724201407066</v>
      </c>
      <c r="O154">
        <f t="shared" si="6"/>
        <v>-0.27350558923396684</v>
      </c>
    </row>
    <row r="155" spans="1:15" x14ac:dyDescent="0.4">
      <c r="A155">
        <v>18</v>
      </c>
      <c r="B155">
        <v>6</v>
      </c>
      <c r="C155">
        <v>250</v>
      </c>
      <c r="D155" t="s">
        <v>338</v>
      </c>
      <c r="E155">
        <v>3459</v>
      </c>
      <c r="F155">
        <v>16</v>
      </c>
      <c r="G155">
        <v>75</v>
      </c>
      <c r="H155">
        <v>1</v>
      </c>
      <c r="I155" t="s">
        <v>107</v>
      </c>
      <c r="J155">
        <f t="shared" si="8"/>
        <v>0.3209353435276921</v>
      </c>
      <c r="K155">
        <f t="shared" si="9"/>
        <v>0.54325708013904517</v>
      </c>
      <c r="L155" t="e">
        <f t="shared" si="9"/>
        <v>#DIV/0!</v>
      </c>
      <c r="M155">
        <f t="shared" si="9"/>
        <v>0.57766437487463318</v>
      </c>
      <c r="N155">
        <f t="shared" si="7"/>
        <v>0.15681724201407066</v>
      </c>
      <c r="O155">
        <f t="shared" si="6"/>
        <v>-0.27350558923396684</v>
      </c>
    </row>
    <row r="156" spans="1:15" x14ac:dyDescent="0.4">
      <c r="A156">
        <v>15</v>
      </c>
      <c r="B156">
        <v>6</v>
      </c>
      <c r="C156">
        <v>250</v>
      </c>
      <c r="D156" t="s">
        <v>343</v>
      </c>
      <c r="E156">
        <v>3432</v>
      </c>
      <c r="F156">
        <v>21</v>
      </c>
      <c r="G156">
        <v>75</v>
      </c>
      <c r="H156">
        <v>1</v>
      </c>
      <c r="I156" t="s">
        <v>122</v>
      </c>
      <c r="J156">
        <f t="shared" si="8"/>
        <v>0.3209353435276921</v>
      </c>
      <c r="K156">
        <f t="shared" si="9"/>
        <v>0.54325708013904517</v>
      </c>
      <c r="L156" t="e">
        <f t="shared" si="9"/>
        <v>#DIV/0!</v>
      </c>
      <c r="M156">
        <f t="shared" si="9"/>
        <v>0.54574107529888582</v>
      </c>
      <c r="N156">
        <f t="shared" si="7"/>
        <v>1.9722117248994084</v>
      </c>
      <c r="O156">
        <f t="shared" si="6"/>
        <v>-0.27350558923396684</v>
      </c>
    </row>
    <row r="157" spans="1:15" x14ac:dyDescent="0.4">
      <c r="A157">
        <v>15</v>
      </c>
      <c r="B157">
        <v>6</v>
      </c>
      <c r="C157">
        <v>250</v>
      </c>
      <c r="D157" t="s">
        <v>343</v>
      </c>
      <c r="E157">
        <v>3158</v>
      </c>
      <c r="F157">
        <v>19.5</v>
      </c>
      <c r="G157">
        <v>75</v>
      </c>
      <c r="H157">
        <v>1</v>
      </c>
      <c r="I157" t="s">
        <v>17</v>
      </c>
      <c r="J157">
        <f t="shared" si="8"/>
        <v>0.3209353435276921</v>
      </c>
      <c r="K157">
        <f t="shared" si="9"/>
        <v>0.54325708013904517</v>
      </c>
      <c r="L157" t="e">
        <f t="shared" si="9"/>
        <v>#DIV/0!</v>
      </c>
      <c r="M157">
        <f t="shared" si="9"/>
        <v>0.22177870182648621</v>
      </c>
      <c r="N157">
        <f t="shared" si="7"/>
        <v>1.4275933800338072</v>
      </c>
      <c r="O157">
        <f t="shared" si="6"/>
        <v>-0.27350558923396684</v>
      </c>
    </row>
    <row r="158" spans="1:15" x14ac:dyDescent="0.4">
      <c r="A158">
        <v>16</v>
      </c>
      <c r="B158">
        <v>8</v>
      </c>
      <c r="C158">
        <v>400</v>
      </c>
      <c r="D158" t="s">
        <v>323</v>
      </c>
      <c r="E158">
        <v>4668</v>
      </c>
      <c r="F158">
        <v>11.5</v>
      </c>
      <c r="G158">
        <v>75</v>
      </c>
      <c r="H158">
        <v>1</v>
      </c>
      <c r="I158" t="s">
        <v>8</v>
      </c>
      <c r="J158">
        <f t="shared" si="8"/>
        <v>1.498191258034802</v>
      </c>
      <c r="K158">
        <f t="shared" si="9"/>
        <v>1.9836429164946507</v>
      </c>
      <c r="L158" t="e">
        <f t="shared" si="9"/>
        <v>#DIV/0!</v>
      </c>
      <c r="M158">
        <f t="shared" si="9"/>
        <v>2.0071187892108782</v>
      </c>
      <c r="N158">
        <f t="shared" si="7"/>
        <v>-1.4770377925827334</v>
      </c>
      <c r="O158">
        <f t="shared" si="6"/>
        <v>-0.27350558923396684</v>
      </c>
    </row>
    <row r="159" spans="1:15" x14ac:dyDescent="0.4">
      <c r="A159">
        <v>15</v>
      </c>
      <c r="B159">
        <v>8</v>
      </c>
      <c r="C159">
        <v>350</v>
      </c>
      <c r="D159" t="s">
        <v>356</v>
      </c>
      <c r="E159">
        <v>4440</v>
      </c>
      <c r="F159">
        <v>14</v>
      </c>
      <c r="G159">
        <v>75</v>
      </c>
      <c r="H159">
        <v>1</v>
      </c>
      <c r="I159" t="s">
        <v>123</v>
      </c>
      <c r="J159">
        <f t="shared" si="8"/>
        <v>1.498191258034802</v>
      </c>
      <c r="K159">
        <f t="shared" si="9"/>
        <v>1.5035143043761157</v>
      </c>
      <c r="L159" t="e">
        <f t="shared" si="9"/>
        <v>#DIV/0!</v>
      </c>
      <c r="M159">
        <f t="shared" si="9"/>
        <v>1.7375442594601223</v>
      </c>
      <c r="N159">
        <f t="shared" si="7"/>
        <v>-0.56934055114006443</v>
      </c>
      <c r="O159">
        <f t="shared" si="6"/>
        <v>-0.27350558923396684</v>
      </c>
    </row>
    <row r="160" spans="1:15" x14ac:dyDescent="0.4">
      <c r="A160">
        <v>16</v>
      </c>
      <c r="B160">
        <v>8</v>
      </c>
      <c r="C160">
        <v>318</v>
      </c>
      <c r="D160" t="s">
        <v>316</v>
      </c>
      <c r="E160">
        <v>4498</v>
      </c>
      <c r="F160">
        <v>14.5</v>
      </c>
      <c r="G160">
        <v>75</v>
      </c>
      <c r="H160">
        <v>1</v>
      </c>
      <c r="I160" t="s">
        <v>124</v>
      </c>
      <c r="J160">
        <f t="shared" si="8"/>
        <v>1.498191258034802</v>
      </c>
      <c r="K160">
        <f t="shared" si="9"/>
        <v>1.1962319926202531</v>
      </c>
      <c r="L160" t="e">
        <f t="shared" si="9"/>
        <v>#DIV/0!</v>
      </c>
      <c r="M160">
        <f t="shared" si="9"/>
        <v>1.8061202363265425</v>
      </c>
      <c r="N160">
        <f t="shared" si="7"/>
        <v>-0.38780110285153069</v>
      </c>
      <c r="O160">
        <f t="shared" si="6"/>
        <v>-0.27350558923396684</v>
      </c>
    </row>
    <row r="161" spans="1:15" x14ac:dyDescent="0.4">
      <c r="A161">
        <v>14</v>
      </c>
      <c r="B161">
        <v>8</v>
      </c>
      <c r="C161">
        <v>351</v>
      </c>
      <c r="D161" t="s">
        <v>373</v>
      </c>
      <c r="E161">
        <v>4657</v>
      </c>
      <c r="F161">
        <v>13.5</v>
      </c>
      <c r="G161">
        <v>75</v>
      </c>
      <c r="H161">
        <v>1</v>
      </c>
      <c r="I161" t="s">
        <v>81</v>
      </c>
      <c r="J161">
        <f t="shared" si="8"/>
        <v>1.498191258034802</v>
      </c>
      <c r="K161">
        <f t="shared" si="9"/>
        <v>1.5131168766184864</v>
      </c>
      <c r="L161" t="e">
        <f t="shared" si="9"/>
        <v>#DIV/0!</v>
      </c>
      <c r="M161">
        <f t="shared" si="9"/>
        <v>1.9941130004948329</v>
      </c>
      <c r="N161">
        <f t="shared" si="7"/>
        <v>-0.75087999942859829</v>
      </c>
      <c r="O161">
        <f t="shared" si="6"/>
        <v>-0.27350558923396684</v>
      </c>
    </row>
    <row r="162" spans="1:15" x14ac:dyDescent="0.4">
      <c r="A162">
        <v>17</v>
      </c>
      <c r="B162">
        <v>6</v>
      </c>
      <c r="C162">
        <v>231</v>
      </c>
      <c r="D162" t="s">
        <v>342</v>
      </c>
      <c r="E162">
        <v>3907</v>
      </c>
      <c r="F162">
        <v>21</v>
      </c>
      <c r="G162">
        <v>75</v>
      </c>
      <c r="H162">
        <v>1</v>
      </c>
      <c r="I162" t="s">
        <v>125</v>
      </c>
      <c r="J162">
        <f t="shared" si="8"/>
        <v>0.3209353435276921</v>
      </c>
      <c r="K162">
        <f t="shared" si="9"/>
        <v>0.36080820753400178</v>
      </c>
      <c r="L162" t="e">
        <f t="shared" si="9"/>
        <v>#DIV/0!</v>
      </c>
      <c r="M162">
        <f t="shared" si="9"/>
        <v>1.1073546789462938</v>
      </c>
      <c r="N162">
        <f t="shared" si="7"/>
        <v>1.9722117248994084</v>
      </c>
      <c r="O162">
        <f t="shared" si="6"/>
        <v>-0.27350558923396684</v>
      </c>
    </row>
    <row r="163" spans="1:15" x14ac:dyDescent="0.4">
      <c r="A163">
        <v>16</v>
      </c>
      <c r="B163">
        <v>6</v>
      </c>
      <c r="C163">
        <v>250</v>
      </c>
      <c r="D163" t="s">
        <v>338</v>
      </c>
      <c r="E163">
        <v>3897</v>
      </c>
      <c r="F163">
        <v>18.5</v>
      </c>
      <c r="G163">
        <v>75</v>
      </c>
      <c r="H163">
        <v>1</v>
      </c>
      <c r="I163" t="s">
        <v>126</v>
      </c>
      <c r="J163">
        <f t="shared" si="8"/>
        <v>0.3209353435276921</v>
      </c>
      <c r="K163">
        <f t="shared" si="9"/>
        <v>0.54325708013904517</v>
      </c>
      <c r="L163" t="e">
        <f t="shared" si="9"/>
        <v>#DIV/0!</v>
      </c>
      <c r="M163">
        <f t="shared" si="9"/>
        <v>1.0955312346589801</v>
      </c>
      <c r="N163">
        <f t="shared" si="7"/>
        <v>1.0645144834567395</v>
      </c>
      <c r="O163">
        <f t="shared" si="6"/>
        <v>-0.27350558923396684</v>
      </c>
    </row>
    <row r="164" spans="1:15" x14ac:dyDescent="0.4">
      <c r="A164">
        <v>15</v>
      </c>
      <c r="B164">
        <v>6</v>
      </c>
      <c r="C164">
        <v>258</v>
      </c>
      <c r="D164" t="s">
        <v>342</v>
      </c>
      <c r="E164">
        <v>3730</v>
      </c>
      <c r="F164">
        <v>19</v>
      </c>
      <c r="G164">
        <v>75</v>
      </c>
      <c r="H164">
        <v>1</v>
      </c>
      <c r="I164" t="s">
        <v>34</v>
      </c>
      <c r="J164">
        <f t="shared" si="8"/>
        <v>0.3209353435276921</v>
      </c>
      <c r="K164">
        <f t="shared" si="9"/>
        <v>0.62007765807801074</v>
      </c>
      <c r="L164" t="e">
        <f t="shared" si="9"/>
        <v>#DIV/0!</v>
      </c>
      <c r="M164">
        <f t="shared" si="9"/>
        <v>0.89807971506083861</v>
      </c>
      <c r="N164">
        <f t="shared" si="7"/>
        <v>1.2460539317452732</v>
      </c>
      <c r="O164">
        <f t="shared" si="6"/>
        <v>-0.27350558923396684</v>
      </c>
    </row>
    <row r="165" spans="1:15" x14ac:dyDescent="0.4">
      <c r="A165">
        <v>18</v>
      </c>
      <c r="B165">
        <v>6</v>
      </c>
      <c r="C165">
        <v>225</v>
      </c>
      <c r="D165" t="s">
        <v>325</v>
      </c>
      <c r="E165">
        <v>3785</v>
      </c>
      <c r="F165">
        <v>19</v>
      </c>
      <c r="G165">
        <v>75</v>
      </c>
      <c r="H165">
        <v>1</v>
      </c>
      <c r="I165" t="s">
        <v>127</v>
      </c>
      <c r="J165">
        <f t="shared" si="8"/>
        <v>0.3209353435276921</v>
      </c>
      <c r="K165">
        <f t="shared" si="9"/>
        <v>0.30319277407977752</v>
      </c>
      <c r="L165" t="e">
        <f t="shared" si="9"/>
        <v>#DIV/0!</v>
      </c>
      <c r="M165">
        <f t="shared" si="9"/>
        <v>0.96310865864106487</v>
      </c>
      <c r="N165">
        <f t="shared" si="7"/>
        <v>1.2460539317452732</v>
      </c>
      <c r="O165">
        <f t="shared" si="6"/>
        <v>-0.27350558923396684</v>
      </c>
    </row>
    <row r="166" spans="1:15" x14ac:dyDescent="0.4">
      <c r="A166">
        <v>21</v>
      </c>
      <c r="B166">
        <v>6</v>
      </c>
      <c r="C166">
        <v>231</v>
      </c>
      <c r="D166" t="s">
        <v>342</v>
      </c>
      <c r="E166">
        <v>3039</v>
      </c>
      <c r="F166">
        <v>15</v>
      </c>
      <c r="G166">
        <v>75</v>
      </c>
      <c r="H166">
        <v>1</v>
      </c>
      <c r="I166" t="s">
        <v>128</v>
      </c>
      <c r="J166">
        <f t="shared" si="8"/>
        <v>0.3209353435276921</v>
      </c>
      <c r="K166">
        <f t="shared" si="9"/>
        <v>0.36080820753400178</v>
      </c>
      <c r="L166" t="e">
        <f t="shared" si="9"/>
        <v>#DIV/0!</v>
      </c>
      <c r="M166">
        <f t="shared" si="9"/>
        <v>8.1079714807451353E-2</v>
      </c>
      <c r="N166">
        <f t="shared" si="7"/>
        <v>-0.20626165456299692</v>
      </c>
      <c r="O166">
        <f t="shared" si="6"/>
        <v>-0.27350558923396684</v>
      </c>
    </row>
    <row r="167" spans="1:15" x14ac:dyDescent="0.4">
      <c r="A167">
        <v>20</v>
      </c>
      <c r="B167">
        <v>8</v>
      </c>
      <c r="C167">
        <v>262</v>
      </c>
      <c r="D167" t="s">
        <v>342</v>
      </c>
      <c r="E167">
        <v>3221</v>
      </c>
      <c r="F167">
        <v>13.5</v>
      </c>
      <c r="G167">
        <v>75</v>
      </c>
      <c r="H167">
        <v>1</v>
      </c>
      <c r="I167" t="s">
        <v>129</v>
      </c>
      <c r="J167">
        <f t="shared" si="8"/>
        <v>1.498191258034802</v>
      </c>
      <c r="K167">
        <f t="shared" si="9"/>
        <v>0.65848794704749358</v>
      </c>
      <c r="L167" t="e">
        <f t="shared" si="9"/>
        <v>#DIV/0!</v>
      </c>
      <c r="M167">
        <f t="shared" si="9"/>
        <v>0.29626640083656347</v>
      </c>
      <c r="N167">
        <f t="shared" si="7"/>
        <v>-0.75087999942859829</v>
      </c>
      <c r="O167">
        <f t="shared" si="6"/>
        <v>-0.27350558923396684</v>
      </c>
    </row>
    <row r="168" spans="1:15" x14ac:dyDescent="0.4">
      <c r="A168">
        <v>13</v>
      </c>
      <c r="B168">
        <v>8</v>
      </c>
      <c r="C168">
        <v>302</v>
      </c>
      <c r="D168" t="s">
        <v>374</v>
      </c>
      <c r="E168">
        <v>3169</v>
      </c>
      <c r="F168">
        <v>12</v>
      </c>
      <c r="G168">
        <v>75</v>
      </c>
      <c r="H168">
        <v>1</v>
      </c>
      <c r="I168" t="s">
        <v>130</v>
      </c>
      <c r="J168">
        <f t="shared" si="8"/>
        <v>1.498191258034802</v>
      </c>
      <c r="K168">
        <f t="shared" si="9"/>
        <v>1.0425908367423218</v>
      </c>
      <c r="L168" t="e">
        <f t="shared" si="9"/>
        <v>#DIV/0!</v>
      </c>
      <c r="M168">
        <f t="shared" si="9"/>
        <v>0.23478449054253145</v>
      </c>
      <c r="N168">
        <f t="shared" si="7"/>
        <v>-1.2954983442941996</v>
      </c>
      <c r="O168">
        <f t="shared" si="6"/>
        <v>-0.27350558923396684</v>
      </c>
    </row>
    <row r="169" spans="1:15" x14ac:dyDescent="0.4">
      <c r="A169">
        <v>29</v>
      </c>
      <c r="B169">
        <v>4</v>
      </c>
      <c r="C169">
        <v>97</v>
      </c>
      <c r="D169" t="s">
        <v>364</v>
      </c>
      <c r="E169">
        <v>2171</v>
      </c>
      <c r="F169">
        <v>16</v>
      </c>
      <c r="G169">
        <v>75</v>
      </c>
      <c r="H169">
        <v>3</v>
      </c>
      <c r="I169" t="s">
        <v>131</v>
      </c>
      <c r="J169">
        <f t="shared" si="8"/>
        <v>-0.85632057097941794</v>
      </c>
      <c r="K169">
        <f t="shared" si="9"/>
        <v>-0.92593647294367265</v>
      </c>
      <c r="L169" t="e">
        <f t="shared" si="9"/>
        <v>#DIV/0!</v>
      </c>
      <c r="M169">
        <f t="shared" si="9"/>
        <v>-0.9451952493313911</v>
      </c>
      <c r="N169">
        <f t="shared" si="7"/>
        <v>0.15681724201407066</v>
      </c>
      <c r="O169">
        <f t="shared" si="6"/>
        <v>-0.27350558923396684</v>
      </c>
    </row>
    <row r="170" spans="1:15" x14ac:dyDescent="0.4">
      <c r="A170">
        <v>23</v>
      </c>
      <c r="B170">
        <v>4</v>
      </c>
      <c r="C170">
        <v>140</v>
      </c>
      <c r="D170" t="s">
        <v>368</v>
      </c>
      <c r="E170">
        <v>2639</v>
      </c>
      <c r="F170">
        <v>17</v>
      </c>
      <c r="G170">
        <v>75</v>
      </c>
      <c r="H170">
        <v>1</v>
      </c>
      <c r="I170" t="s">
        <v>31</v>
      </c>
      <c r="J170">
        <f t="shared" si="8"/>
        <v>-0.85632057097941794</v>
      </c>
      <c r="K170">
        <f t="shared" si="9"/>
        <v>-0.51302586652173232</v>
      </c>
      <c r="L170" t="e">
        <f t="shared" si="9"/>
        <v>#DIV/0!</v>
      </c>
      <c r="M170">
        <f t="shared" si="9"/>
        <v>-0.39185805668510276</v>
      </c>
      <c r="N170">
        <f t="shared" si="7"/>
        <v>0.51989613859113826</v>
      </c>
      <c r="O170">
        <f t="shared" si="6"/>
        <v>-0.27350558923396684</v>
      </c>
    </row>
    <row r="171" spans="1:15" x14ac:dyDescent="0.4">
      <c r="A171">
        <v>20</v>
      </c>
      <c r="B171">
        <v>6</v>
      </c>
      <c r="C171">
        <v>232</v>
      </c>
      <c r="D171" t="s">
        <v>337</v>
      </c>
      <c r="E171">
        <v>2914</v>
      </c>
      <c r="F171">
        <v>16</v>
      </c>
      <c r="G171">
        <v>75</v>
      </c>
      <c r="H171">
        <v>1</v>
      </c>
      <c r="I171" t="s">
        <v>24</v>
      </c>
      <c r="J171">
        <f t="shared" si="8"/>
        <v>0.3209353435276921</v>
      </c>
      <c r="K171">
        <f t="shared" si="9"/>
        <v>0.37041077977637243</v>
      </c>
      <c r="L171" t="e">
        <f t="shared" si="9"/>
        <v>#DIV/0!</v>
      </c>
      <c r="M171">
        <f t="shared" si="9"/>
        <v>-6.6713338783971815E-2</v>
      </c>
      <c r="N171">
        <f t="shared" si="7"/>
        <v>0.15681724201407066</v>
      </c>
      <c r="O171">
        <f t="shared" si="6"/>
        <v>-0.27350558923396684</v>
      </c>
    </row>
    <row r="172" spans="1:15" x14ac:dyDescent="0.4">
      <c r="A172">
        <v>23</v>
      </c>
      <c r="B172">
        <v>4</v>
      </c>
      <c r="C172">
        <v>140</v>
      </c>
      <c r="D172" t="s">
        <v>369</v>
      </c>
      <c r="E172">
        <v>2592</v>
      </c>
      <c r="F172">
        <v>18.5</v>
      </c>
      <c r="G172">
        <v>75</v>
      </c>
      <c r="H172">
        <v>1</v>
      </c>
      <c r="I172" t="s">
        <v>132</v>
      </c>
      <c r="J172">
        <f t="shared" si="8"/>
        <v>-0.85632057097941794</v>
      </c>
      <c r="K172">
        <f t="shared" si="9"/>
        <v>-0.51302586652173232</v>
      </c>
      <c r="L172" t="e">
        <f t="shared" si="9"/>
        <v>#DIV/0!</v>
      </c>
      <c r="M172">
        <f t="shared" si="9"/>
        <v>-0.44742824483547788</v>
      </c>
      <c r="N172">
        <f t="shared" si="7"/>
        <v>1.0645144834567395</v>
      </c>
      <c r="O172">
        <f t="shared" si="6"/>
        <v>-0.27350558923396684</v>
      </c>
    </row>
    <row r="173" spans="1:15" x14ac:dyDescent="0.4">
      <c r="A173">
        <v>24</v>
      </c>
      <c r="B173">
        <v>4</v>
      </c>
      <c r="C173">
        <v>134</v>
      </c>
      <c r="D173" t="s">
        <v>375</v>
      </c>
      <c r="E173">
        <v>2702</v>
      </c>
      <c r="F173">
        <v>13.5</v>
      </c>
      <c r="G173">
        <v>75</v>
      </c>
      <c r="H173">
        <v>3</v>
      </c>
      <c r="I173" t="s">
        <v>30</v>
      </c>
      <c r="J173">
        <f t="shared" si="8"/>
        <v>-0.85632057097941794</v>
      </c>
      <c r="K173">
        <f t="shared" si="9"/>
        <v>-0.57064129997595658</v>
      </c>
      <c r="L173" t="e">
        <f t="shared" si="9"/>
        <v>#DIV/0!</v>
      </c>
      <c r="M173">
        <f t="shared" si="9"/>
        <v>-0.31737035767502553</v>
      </c>
      <c r="N173">
        <f t="shared" si="7"/>
        <v>-0.75087999942859829</v>
      </c>
      <c r="O173">
        <f t="shared" si="6"/>
        <v>-0.27350558923396684</v>
      </c>
    </row>
    <row r="174" spans="1:15" x14ac:dyDescent="0.4">
      <c r="A174">
        <v>25</v>
      </c>
      <c r="B174">
        <v>4</v>
      </c>
      <c r="C174">
        <v>90</v>
      </c>
      <c r="D174" t="s">
        <v>376</v>
      </c>
      <c r="E174">
        <v>2223</v>
      </c>
      <c r="F174">
        <v>16.5</v>
      </c>
      <c r="G174">
        <v>75</v>
      </c>
      <c r="H174">
        <v>2</v>
      </c>
      <c r="I174" t="s">
        <v>114</v>
      </c>
      <c r="J174">
        <f t="shared" si="8"/>
        <v>-0.85632057097941794</v>
      </c>
      <c r="K174">
        <f t="shared" si="9"/>
        <v>-0.99315447864026762</v>
      </c>
      <c r="L174" t="e">
        <f t="shared" si="9"/>
        <v>#DIV/0!</v>
      </c>
      <c r="M174">
        <f t="shared" si="9"/>
        <v>-0.88371333903735905</v>
      </c>
      <c r="N174">
        <f t="shared" si="7"/>
        <v>0.3383566903026044</v>
      </c>
      <c r="O174">
        <f t="shared" si="6"/>
        <v>-0.27350558923396684</v>
      </c>
    </row>
    <row r="175" spans="1:15" x14ac:dyDescent="0.4">
      <c r="A175">
        <v>24</v>
      </c>
      <c r="B175">
        <v>4</v>
      </c>
      <c r="C175">
        <v>119</v>
      </c>
      <c r="D175" t="s">
        <v>326</v>
      </c>
      <c r="E175">
        <v>2545</v>
      </c>
      <c r="F175">
        <v>17</v>
      </c>
      <c r="G175">
        <v>75</v>
      </c>
      <c r="H175">
        <v>3</v>
      </c>
      <c r="I175" t="s">
        <v>115</v>
      </c>
      <c r="J175">
        <f t="shared" si="8"/>
        <v>-0.85632057097941794</v>
      </c>
      <c r="K175">
        <f t="shared" si="9"/>
        <v>-0.71467988361151713</v>
      </c>
      <c r="L175" t="e">
        <f t="shared" si="9"/>
        <v>#DIV/0!</v>
      </c>
      <c r="M175">
        <f t="shared" si="9"/>
        <v>-0.50299843298585301</v>
      </c>
      <c r="N175">
        <f t="shared" si="7"/>
        <v>0.51989613859113826</v>
      </c>
      <c r="O175">
        <f t="shared" si="6"/>
        <v>-0.27350558923396684</v>
      </c>
    </row>
    <row r="176" spans="1:15" x14ac:dyDescent="0.4">
      <c r="A176">
        <v>18</v>
      </c>
      <c r="B176">
        <v>6</v>
      </c>
      <c r="C176">
        <v>171</v>
      </c>
      <c r="D176" t="s">
        <v>326</v>
      </c>
      <c r="E176">
        <v>2984</v>
      </c>
      <c r="F176">
        <v>14.5</v>
      </c>
      <c r="G176">
        <v>75</v>
      </c>
      <c r="H176">
        <v>1</v>
      </c>
      <c r="I176" t="s">
        <v>31</v>
      </c>
      <c r="J176">
        <f t="shared" si="8"/>
        <v>0.3209353435276921</v>
      </c>
      <c r="K176">
        <f t="shared" si="9"/>
        <v>-0.21534612700824052</v>
      </c>
      <c r="L176" t="e">
        <f t="shared" si="9"/>
        <v>#DIV/0!</v>
      </c>
      <c r="M176">
        <f t="shared" si="9"/>
        <v>1.6050771227225164E-2</v>
      </c>
      <c r="N176">
        <f t="shared" si="7"/>
        <v>-0.38780110285153069</v>
      </c>
      <c r="O176">
        <f t="shared" si="6"/>
        <v>-0.27350558923396684</v>
      </c>
    </row>
    <row r="177" spans="1:15" x14ac:dyDescent="0.4">
      <c r="A177">
        <v>29</v>
      </c>
      <c r="B177">
        <v>4</v>
      </c>
      <c r="C177">
        <v>90</v>
      </c>
      <c r="D177" t="s">
        <v>345</v>
      </c>
      <c r="E177">
        <v>1937</v>
      </c>
      <c r="F177">
        <v>14</v>
      </c>
      <c r="G177">
        <v>75</v>
      </c>
      <c r="H177">
        <v>2</v>
      </c>
      <c r="I177" t="s">
        <v>133</v>
      </c>
      <c r="J177">
        <f t="shared" si="8"/>
        <v>-0.85632057097941794</v>
      </c>
      <c r="K177">
        <f t="shared" si="9"/>
        <v>-0.99315447864026762</v>
      </c>
      <c r="L177" t="e">
        <f t="shared" si="9"/>
        <v>#DIV/0!</v>
      </c>
      <c r="M177">
        <f t="shared" si="9"/>
        <v>-1.2218638456545352</v>
      </c>
      <c r="N177">
        <f t="shared" si="7"/>
        <v>-0.56934055114006443</v>
      </c>
      <c r="O177">
        <f t="shared" si="6"/>
        <v>-0.27350558923396684</v>
      </c>
    </row>
    <row r="178" spans="1:15" x14ac:dyDescent="0.4">
      <c r="A178">
        <v>19</v>
      </c>
      <c r="B178">
        <v>6</v>
      </c>
      <c r="C178">
        <v>232</v>
      </c>
      <c r="D178" t="s">
        <v>331</v>
      </c>
      <c r="E178">
        <v>3211</v>
      </c>
      <c r="F178">
        <v>17</v>
      </c>
      <c r="G178">
        <v>75</v>
      </c>
      <c r="H178">
        <v>1</v>
      </c>
      <c r="I178" t="s">
        <v>134</v>
      </c>
      <c r="J178">
        <f t="shared" si="8"/>
        <v>0.3209353435276921</v>
      </c>
      <c r="K178">
        <f t="shared" si="9"/>
        <v>0.37041077977637243</v>
      </c>
      <c r="L178" t="e">
        <f t="shared" si="9"/>
        <v>#DIV/0!</v>
      </c>
      <c r="M178">
        <f t="shared" si="9"/>
        <v>0.28444295654924961</v>
      </c>
      <c r="N178">
        <f t="shared" si="7"/>
        <v>0.51989613859113826</v>
      </c>
      <c r="O178">
        <f t="shared" si="6"/>
        <v>-0.27350558923396684</v>
      </c>
    </row>
    <row r="179" spans="1:15" x14ac:dyDescent="0.4">
      <c r="A179">
        <v>23</v>
      </c>
      <c r="B179">
        <v>4</v>
      </c>
      <c r="C179">
        <v>115</v>
      </c>
      <c r="D179" t="s">
        <v>325</v>
      </c>
      <c r="E179">
        <v>2694</v>
      </c>
      <c r="F179">
        <v>15</v>
      </c>
      <c r="G179">
        <v>75</v>
      </c>
      <c r="H179">
        <v>2</v>
      </c>
      <c r="I179" t="s">
        <v>101</v>
      </c>
      <c r="J179">
        <f t="shared" si="8"/>
        <v>-0.85632057097941794</v>
      </c>
      <c r="K179">
        <f t="shared" si="9"/>
        <v>-0.75309017258099997</v>
      </c>
      <c r="L179" t="e">
        <f t="shared" si="9"/>
        <v>#DIV/0!</v>
      </c>
      <c r="M179">
        <f t="shared" si="9"/>
        <v>-0.32682911310487656</v>
      </c>
      <c r="N179">
        <f t="shared" si="7"/>
        <v>-0.20626165456299692</v>
      </c>
      <c r="O179">
        <f t="shared" si="6"/>
        <v>-0.27350558923396684</v>
      </c>
    </row>
    <row r="180" spans="1:15" x14ac:dyDescent="0.4">
      <c r="A180">
        <v>23</v>
      </c>
      <c r="B180">
        <v>4</v>
      </c>
      <c r="C180">
        <v>120</v>
      </c>
      <c r="D180" t="s">
        <v>328</v>
      </c>
      <c r="E180">
        <v>2957</v>
      </c>
      <c r="F180">
        <v>17</v>
      </c>
      <c r="G180">
        <v>75</v>
      </c>
      <c r="H180">
        <v>2</v>
      </c>
      <c r="I180" t="s">
        <v>20</v>
      </c>
      <c r="J180">
        <f t="shared" si="8"/>
        <v>-0.85632057097941794</v>
      </c>
      <c r="K180">
        <f t="shared" si="9"/>
        <v>-0.70507731136914642</v>
      </c>
      <c r="L180" t="e">
        <f t="shared" si="9"/>
        <v>#DIV/0!</v>
      </c>
      <c r="M180">
        <f t="shared" si="9"/>
        <v>-1.5872528348522239E-2</v>
      </c>
      <c r="N180">
        <f t="shared" si="7"/>
        <v>0.51989613859113826</v>
      </c>
      <c r="O180">
        <f t="shared" si="6"/>
        <v>-0.27350558923396684</v>
      </c>
    </row>
    <row r="181" spans="1:15" x14ac:dyDescent="0.4">
      <c r="A181">
        <v>22</v>
      </c>
      <c r="B181">
        <v>4</v>
      </c>
      <c r="C181">
        <v>121</v>
      </c>
      <c r="D181" t="s">
        <v>377</v>
      </c>
      <c r="E181">
        <v>2945</v>
      </c>
      <c r="F181">
        <v>14.5</v>
      </c>
      <c r="G181">
        <v>75</v>
      </c>
      <c r="H181">
        <v>2</v>
      </c>
      <c r="I181" t="s">
        <v>135</v>
      </c>
      <c r="J181">
        <f t="shared" si="8"/>
        <v>-0.85632057097941794</v>
      </c>
      <c r="K181">
        <f t="shared" si="9"/>
        <v>-0.69547473912677571</v>
      </c>
      <c r="L181" t="e">
        <f t="shared" si="9"/>
        <v>#DIV/0!</v>
      </c>
      <c r="M181">
        <f t="shared" si="9"/>
        <v>-3.0060661493298863E-2</v>
      </c>
      <c r="N181">
        <f t="shared" si="7"/>
        <v>-0.38780110285153069</v>
      </c>
      <c r="O181">
        <f t="shared" si="6"/>
        <v>-0.27350558923396684</v>
      </c>
    </row>
    <row r="182" spans="1:15" x14ac:dyDescent="0.4">
      <c r="A182">
        <v>25</v>
      </c>
      <c r="B182">
        <v>4</v>
      </c>
      <c r="C182">
        <v>121</v>
      </c>
      <c r="D182" t="s">
        <v>378</v>
      </c>
      <c r="E182">
        <v>2671</v>
      </c>
      <c r="F182">
        <v>13.5</v>
      </c>
      <c r="G182">
        <v>75</v>
      </c>
      <c r="H182">
        <v>2</v>
      </c>
      <c r="I182" t="s">
        <v>104</v>
      </c>
      <c r="J182">
        <f t="shared" si="8"/>
        <v>-0.85632057097941794</v>
      </c>
      <c r="K182">
        <f t="shared" si="9"/>
        <v>-0.69547473912677571</v>
      </c>
      <c r="L182" t="e">
        <f t="shared" si="9"/>
        <v>#DIV/0!</v>
      </c>
      <c r="M182">
        <f t="shared" si="9"/>
        <v>-0.35402303496569842</v>
      </c>
      <c r="N182">
        <f t="shared" si="7"/>
        <v>-0.75087999942859829</v>
      </c>
      <c r="O182">
        <f t="shared" si="6"/>
        <v>-0.27350558923396684</v>
      </c>
    </row>
    <row r="183" spans="1:15" x14ac:dyDescent="0.4">
      <c r="A183">
        <v>33</v>
      </c>
      <c r="B183">
        <v>4</v>
      </c>
      <c r="C183">
        <v>91</v>
      </c>
      <c r="D183" t="s">
        <v>379</v>
      </c>
      <c r="E183">
        <v>1795</v>
      </c>
      <c r="F183">
        <v>17.5</v>
      </c>
      <c r="G183">
        <v>75</v>
      </c>
      <c r="H183">
        <v>3</v>
      </c>
      <c r="I183" t="s">
        <v>136</v>
      </c>
      <c r="J183">
        <f t="shared" si="8"/>
        <v>-0.85632057097941794</v>
      </c>
      <c r="K183">
        <f t="shared" si="9"/>
        <v>-0.98355190639789691</v>
      </c>
      <c r="L183" t="e">
        <f t="shared" si="9"/>
        <v>#DIV/0!</v>
      </c>
      <c r="M183">
        <f t="shared" si="9"/>
        <v>-1.3897567545343921</v>
      </c>
      <c r="N183">
        <f t="shared" si="7"/>
        <v>0.701435586879672</v>
      </c>
      <c r="O183">
        <f t="shared" si="6"/>
        <v>-0.27350558923396684</v>
      </c>
    </row>
    <row r="184" spans="1:15" x14ac:dyDescent="0.4">
      <c r="A184">
        <v>28</v>
      </c>
      <c r="B184">
        <v>4</v>
      </c>
      <c r="C184">
        <v>107</v>
      </c>
      <c r="D184" t="s">
        <v>344</v>
      </c>
      <c r="E184">
        <v>2464</v>
      </c>
      <c r="F184">
        <v>15.5</v>
      </c>
      <c r="G184">
        <v>76</v>
      </c>
      <c r="H184">
        <v>2</v>
      </c>
      <c r="I184" t="s">
        <v>137</v>
      </c>
      <c r="J184">
        <f t="shared" si="8"/>
        <v>-0.85632057097941794</v>
      </c>
      <c r="K184">
        <f t="shared" si="9"/>
        <v>-0.82991075051996555</v>
      </c>
      <c r="L184" t="e">
        <f t="shared" si="9"/>
        <v>#DIV/0!</v>
      </c>
      <c r="M184">
        <f t="shared" si="9"/>
        <v>-0.59876833171309518</v>
      </c>
      <c r="N184">
        <f t="shared" si="7"/>
        <v>-2.4722206274463136E-2</v>
      </c>
      <c r="O184">
        <f t="shared" si="6"/>
        <v>-2.7214486490960547E-3</v>
      </c>
    </row>
    <row r="185" spans="1:15" x14ac:dyDescent="0.4">
      <c r="A185">
        <v>25</v>
      </c>
      <c r="B185">
        <v>4</v>
      </c>
      <c r="C185">
        <v>116</v>
      </c>
      <c r="D185" t="s">
        <v>380</v>
      </c>
      <c r="E185">
        <v>2220</v>
      </c>
      <c r="F185">
        <v>16.899999999999999</v>
      </c>
      <c r="G185">
        <v>76</v>
      </c>
      <c r="H185">
        <v>2</v>
      </c>
      <c r="I185" t="s">
        <v>44</v>
      </c>
      <c r="J185">
        <f t="shared" si="8"/>
        <v>-0.85632057097941794</v>
      </c>
      <c r="K185">
        <f t="shared" si="9"/>
        <v>-0.74348760033862926</v>
      </c>
      <c r="L185" t="e">
        <f t="shared" si="9"/>
        <v>#DIV/0!</v>
      </c>
      <c r="M185">
        <f t="shared" si="9"/>
        <v>-0.88726037232355326</v>
      </c>
      <c r="N185">
        <f t="shared" si="7"/>
        <v>0.48358824893343094</v>
      </c>
      <c r="O185">
        <f t="shared" si="6"/>
        <v>-2.7214486490960547E-3</v>
      </c>
    </row>
    <row r="186" spans="1:15" x14ac:dyDescent="0.4">
      <c r="A186">
        <v>25</v>
      </c>
      <c r="B186">
        <v>4</v>
      </c>
      <c r="C186">
        <v>140</v>
      </c>
      <c r="D186" t="s">
        <v>355</v>
      </c>
      <c r="E186">
        <v>2572</v>
      </c>
      <c r="F186">
        <v>14.9</v>
      </c>
      <c r="G186">
        <v>76</v>
      </c>
      <c r="H186">
        <v>1</v>
      </c>
      <c r="I186" t="s">
        <v>138</v>
      </c>
      <c r="J186">
        <f t="shared" si="8"/>
        <v>-0.85632057097941794</v>
      </c>
      <c r="K186">
        <f t="shared" si="9"/>
        <v>-0.51302586652173232</v>
      </c>
      <c r="L186" t="e">
        <f t="shared" si="9"/>
        <v>#DIV/0!</v>
      </c>
      <c r="M186">
        <f t="shared" si="9"/>
        <v>-0.4710751334101056</v>
      </c>
      <c r="N186">
        <f t="shared" si="7"/>
        <v>-0.24256954422070354</v>
      </c>
      <c r="O186">
        <f t="shared" si="6"/>
        <v>-2.7214486490960547E-3</v>
      </c>
    </row>
    <row r="187" spans="1:15" x14ac:dyDescent="0.4">
      <c r="A187">
        <v>26</v>
      </c>
      <c r="B187">
        <v>4</v>
      </c>
      <c r="C187">
        <v>98</v>
      </c>
      <c r="D187" t="s">
        <v>381</v>
      </c>
      <c r="E187">
        <v>2255</v>
      </c>
      <c r="F187">
        <v>17.7</v>
      </c>
      <c r="G187">
        <v>76</v>
      </c>
      <c r="H187">
        <v>1</v>
      </c>
      <c r="I187" t="s">
        <v>116</v>
      </c>
      <c r="J187">
        <f t="shared" si="8"/>
        <v>-0.85632057097941794</v>
      </c>
      <c r="K187">
        <f t="shared" si="9"/>
        <v>-0.91633390070130194</v>
      </c>
      <c r="L187" t="e">
        <f t="shared" si="9"/>
        <v>#DIV/0!</v>
      </c>
      <c r="M187">
        <f t="shared" si="9"/>
        <v>-0.84587831731795471</v>
      </c>
      <c r="N187">
        <f t="shared" si="7"/>
        <v>0.7740513661950853</v>
      </c>
      <c r="O187">
        <f t="shared" si="6"/>
        <v>-2.7214486490960547E-3</v>
      </c>
    </row>
    <row r="188" spans="1:15" x14ac:dyDescent="0.4">
      <c r="A188">
        <v>27</v>
      </c>
      <c r="B188">
        <v>4</v>
      </c>
      <c r="C188">
        <v>101</v>
      </c>
      <c r="D188" t="s">
        <v>368</v>
      </c>
      <c r="E188">
        <v>2202</v>
      </c>
      <c r="F188">
        <v>15.3</v>
      </c>
      <c r="G188">
        <v>76</v>
      </c>
      <c r="H188">
        <v>2</v>
      </c>
      <c r="I188" t="s">
        <v>139</v>
      </c>
      <c r="J188">
        <f t="shared" si="8"/>
        <v>-0.85632057097941794</v>
      </c>
      <c r="K188">
        <f t="shared" si="9"/>
        <v>-0.88752618397418981</v>
      </c>
      <c r="L188" t="e">
        <f t="shared" si="9"/>
        <v>#DIV/0!</v>
      </c>
      <c r="M188">
        <f t="shared" si="9"/>
        <v>-0.9085425720407182</v>
      </c>
      <c r="N188">
        <f t="shared" si="7"/>
        <v>-9.7337985589876386E-2</v>
      </c>
      <c r="O188">
        <f t="shared" si="6"/>
        <v>-2.7214486490960547E-3</v>
      </c>
    </row>
    <row r="189" spans="1:15" x14ac:dyDescent="0.4">
      <c r="A189">
        <v>17.5</v>
      </c>
      <c r="B189">
        <v>8</v>
      </c>
      <c r="C189">
        <v>305</v>
      </c>
      <c r="D189" t="s">
        <v>317</v>
      </c>
      <c r="E189">
        <v>4215</v>
      </c>
      <c r="F189">
        <v>13</v>
      </c>
      <c r="G189">
        <v>76</v>
      </c>
      <c r="H189">
        <v>1</v>
      </c>
      <c r="I189" t="s">
        <v>109</v>
      </c>
      <c r="J189">
        <f t="shared" si="8"/>
        <v>1.498191258034802</v>
      </c>
      <c r="K189">
        <f t="shared" si="9"/>
        <v>1.0713985534694339</v>
      </c>
      <c r="L189" t="e">
        <f t="shared" si="9"/>
        <v>#DIV/0!</v>
      </c>
      <c r="M189">
        <f t="shared" si="9"/>
        <v>1.4715167629955606</v>
      </c>
      <c r="N189">
        <f t="shared" si="7"/>
        <v>-0.93241944771713203</v>
      </c>
      <c r="O189">
        <f t="shared" si="6"/>
        <v>-2.7214486490960547E-3</v>
      </c>
    </row>
    <row r="190" spans="1:15" x14ac:dyDescent="0.4">
      <c r="A190">
        <v>16</v>
      </c>
      <c r="B190">
        <v>8</v>
      </c>
      <c r="C190">
        <v>318</v>
      </c>
      <c r="D190" t="s">
        <v>316</v>
      </c>
      <c r="E190">
        <v>4190</v>
      </c>
      <c r="F190">
        <v>13</v>
      </c>
      <c r="G190">
        <v>76</v>
      </c>
      <c r="H190">
        <v>1</v>
      </c>
      <c r="I190" t="s">
        <v>140</v>
      </c>
      <c r="J190">
        <f t="shared" si="8"/>
        <v>1.498191258034802</v>
      </c>
      <c r="K190">
        <f t="shared" si="9"/>
        <v>1.1962319926202531</v>
      </c>
      <c r="L190" t="e">
        <f t="shared" si="9"/>
        <v>#DIV/0!</v>
      </c>
      <c r="M190">
        <f t="shared" si="9"/>
        <v>1.441958152277276</v>
      </c>
      <c r="N190">
        <f t="shared" si="7"/>
        <v>-0.93241944771713203</v>
      </c>
      <c r="O190">
        <f t="shared" si="7"/>
        <v>-2.7214486490960547E-3</v>
      </c>
    </row>
    <row r="191" spans="1:15" x14ac:dyDescent="0.4">
      <c r="A191">
        <v>15.5</v>
      </c>
      <c r="B191">
        <v>8</v>
      </c>
      <c r="C191">
        <v>304</v>
      </c>
      <c r="D191" t="s">
        <v>382</v>
      </c>
      <c r="E191">
        <v>3962</v>
      </c>
      <c r="F191">
        <v>13.9</v>
      </c>
      <c r="G191">
        <v>76</v>
      </c>
      <c r="H191">
        <v>1</v>
      </c>
      <c r="I191" t="s">
        <v>34</v>
      </c>
      <c r="J191">
        <f t="shared" si="8"/>
        <v>1.498191258034802</v>
      </c>
      <c r="K191">
        <f t="shared" si="9"/>
        <v>1.0617959812270632</v>
      </c>
      <c r="L191" t="e">
        <f t="shared" si="9"/>
        <v>#DIV/0!</v>
      </c>
      <c r="M191">
        <f t="shared" si="9"/>
        <v>1.1723836225265201</v>
      </c>
      <c r="N191">
        <f t="shared" si="7"/>
        <v>-0.60564844079777114</v>
      </c>
      <c r="O191">
        <f t="shared" si="7"/>
        <v>-2.7214486490960547E-3</v>
      </c>
    </row>
    <row r="192" spans="1:15" x14ac:dyDescent="0.4">
      <c r="A192">
        <v>14.5</v>
      </c>
      <c r="B192">
        <v>8</v>
      </c>
      <c r="C192">
        <v>351</v>
      </c>
      <c r="D192" t="s">
        <v>383</v>
      </c>
      <c r="E192">
        <v>4215</v>
      </c>
      <c r="F192">
        <v>12.8</v>
      </c>
      <c r="G192">
        <v>76</v>
      </c>
      <c r="H192">
        <v>1</v>
      </c>
      <c r="I192" t="s">
        <v>77</v>
      </c>
      <c r="J192">
        <f t="shared" si="8"/>
        <v>1.498191258034802</v>
      </c>
      <c r="K192">
        <f t="shared" si="9"/>
        <v>1.5131168766184864</v>
      </c>
      <c r="L192" t="e">
        <f t="shared" si="9"/>
        <v>#DIV/0!</v>
      </c>
      <c r="M192">
        <f t="shared" si="9"/>
        <v>1.4715167629955606</v>
      </c>
      <c r="N192">
        <f t="shared" si="7"/>
        <v>-1.0050352270325453</v>
      </c>
      <c r="O192">
        <f t="shared" si="7"/>
        <v>-2.7214486490960547E-3</v>
      </c>
    </row>
    <row r="193" spans="1:15" x14ac:dyDescent="0.4">
      <c r="A193">
        <v>22</v>
      </c>
      <c r="B193">
        <v>6</v>
      </c>
      <c r="C193">
        <v>225</v>
      </c>
      <c r="D193" t="s">
        <v>337</v>
      </c>
      <c r="E193">
        <v>3233</v>
      </c>
      <c r="F193">
        <v>15.4</v>
      </c>
      <c r="G193">
        <v>76</v>
      </c>
      <c r="H193">
        <v>1</v>
      </c>
      <c r="I193" t="s">
        <v>86</v>
      </c>
      <c r="J193">
        <f t="shared" si="8"/>
        <v>0.3209353435276921</v>
      </c>
      <c r="K193">
        <f t="shared" si="9"/>
        <v>0.30319277407977752</v>
      </c>
      <c r="L193" t="e">
        <f t="shared" si="9"/>
        <v>#DIV/0!</v>
      </c>
      <c r="M193">
        <f t="shared" si="9"/>
        <v>0.3104545339813401</v>
      </c>
      <c r="N193">
        <f t="shared" si="7"/>
        <v>-6.1030095932169764E-2</v>
      </c>
      <c r="O193">
        <f t="shared" si="7"/>
        <v>-2.7214486490960547E-3</v>
      </c>
    </row>
    <row r="194" spans="1:15" x14ac:dyDescent="0.4">
      <c r="A194">
        <v>22</v>
      </c>
      <c r="B194">
        <v>6</v>
      </c>
      <c r="C194">
        <v>250</v>
      </c>
      <c r="D194" t="s">
        <v>338</v>
      </c>
      <c r="E194">
        <v>3353</v>
      </c>
      <c r="F194">
        <v>14.5</v>
      </c>
      <c r="G194">
        <v>76</v>
      </c>
      <c r="H194">
        <v>1</v>
      </c>
      <c r="I194" t="s">
        <v>107</v>
      </c>
      <c r="J194">
        <f t="shared" si="8"/>
        <v>0.3209353435276921</v>
      </c>
      <c r="K194">
        <f t="shared" si="9"/>
        <v>0.54325708013904517</v>
      </c>
      <c r="L194" t="e">
        <f t="shared" si="9"/>
        <v>#DIV/0!</v>
      </c>
      <c r="M194">
        <f t="shared" si="9"/>
        <v>0.45233586542910637</v>
      </c>
      <c r="N194">
        <f t="shared" si="9"/>
        <v>-0.38780110285153069</v>
      </c>
      <c r="O194">
        <f t="shared" si="9"/>
        <v>-2.7214486490960547E-3</v>
      </c>
    </row>
    <row r="195" spans="1:15" x14ac:dyDescent="0.4">
      <c r="A195">
        <v>24</v>
      </c>
      <c r="B195">
        <v>6</v>
      </c>
      <c r="C195">
        <v>200</v>
      </c>
      <c r="D195" t="s">
        <v>380</v>
      </c>
      <c r="E195">
        <v>3012</v>
      </c>
      <c r="F195">
        <v>17.600000000000001</v>
      </c>
      <c r="G195">
        <v>76</v>
      </c>
      <c r="H195">
        <v>1</v>
      </c>
      <c r="I195" t="s">
        <v>17</v>
      </c>
      <c r="J195">
        <f t="shared" ref="J195:J258" si="10">(B195-P$2)/P$3</f>
        <v>0.3209353435276921</v>
      </c>
      <c r="K195">
        <f t="shared" ref="K195:N258" si="11">(C195-Q$2)/Q$3</f>
        <v>6.312846802050992E-2</v>
      </c>
      <c r="L195" t="e">
        <f t="shared" si="11"/>
        <v>#DIV/0!</v>
      </c>
      <c r="M195">
        <f t="shared" si="11"/>
        <v>4.9156415231703957E-2</v>
      </c>
      <c r="N195">
        <f t="shared" si="11"/>
        <v>0.73774347653737926</v>
      </c>
      <c r="O195">
        <f t="shared" ref="O195:O258" si="12">(G195-U$2)/U$3</f>
        <v>-2.7214486490960547E-3</v>
      </c>
    </row>
    <row r="196" spans="1:15" x14ac:dyDescent="0.4">
      <c r="A196">
        <v>22.5</v>
      </c>
      <c r="B196">
        <v>6</v>
      </c>
      <c r="C196">
        <v>232</v>
      </c>
      <c r="D196" t="s">
        <v>331</v>
      </c>
      <c r="E196">
        <v>3085</v>
      </c>
      <c r="F196">
        <v>17.600000000000001</v>
      </c>
      <c r="G196">
        <v>76</v>
      </c>
      <c r="H196">
        <v>1</v>
      </c>
      <c r="I196" t="s">
        <v>16</v>
      </c>
      <c r="J196">
        <f t="shared" si="10"/>
        <v>0.3209353435276921</v>
      </c>
      <c r="K196">
        <f t="shared" si="11"/>
        <v>0.37041077977637243</v>
      </c>
      <c r="L196" t="e">
        <f t="shared" si="11"/>
        <v>#DIV/0!</v>
      </c>
      <c r="M196">
        <f t="shared" si="11"/>
        <v>0.13546755852909509</v>
      </c>
      <c r="N196">
        <f t="shared" si="11"/>
        <v>0.73774347653737926</v>
      </c>
      <c r="O196">
        <f t="shared" si="12"/>
        <v>-2.7214486490960547E-3</v>
      </c>
    </row>
    <row r="197" spans="1:15" x14ac:dyDescent="0.4">
      <c r="A197">
        <v>29</v>
      </c>
      <c r="B197">
        <v>4</v>
      </c>
      <c r="C197">
        <v>85</v>
      </c>
      <c r="D197" t="s">
        <v>370</v>
      </c>
      <c r="E197">
        <v>2035</v>
      </c>
      <c r="F197">
        <v>22.2</v>
      </c>
      <c r="G197">
        <v>76</v>
      </c>
      <c r="H197">
        <v>1</v>
      </c>
      <c r="I197" t="s">
        <v>141</v>
      </c>
      <c r="J197">
        <f t="shared" si="10"/>
        <v>-0.85632057097941794</v>
      </c>
      <c r="K197">
        <f t="shared" si="11"/>
        <v>-1.0411673398521211</v>
      </c>
      <c r="L197" t="e">
        <f t="shared" si="11"/>
        <v>#DIV/0!</v>
      </c>
      <c r="M197">
        <f t="shared" si="11"/>
        <v>-1.1059940916388595</v>
      </c>
      <c r="N197">
        <f t="shared" si="11"/>
        <v>2.4079064007918891</v>
      </c>
      <c r="O197">
        <f t="shared" si="12"/>
        <v>-2.7214486490960547E-3</v>
      </c>
    </row>
    <row r="198" spans="1:15" x14ac:dyDescent="0.4">
      <c r="A198">
        <v>24.5</v>
      </c>
      <c r="B198">
        <v>4</v>
      </c>
      <c r="C198">
        <v>98</v>
      </c>
      <c r="D198" t="s">
        <v>349</v>
      </c>
      <c r="E198">
        <v>2164</v>
      </c>
      <c r="F198">
        <v>22.1</v>
      </c>
      <c r="G198">
        <v>76</v>
      </c>
      <c r="H198">
        <v>1</v>
      </c>
      <c r="I198" t="s">
        <v>142</v>
      </c>
      <c r="J198">
        <f t="shared" si="10"/>
        <v>-0.85632057097941794</v>
      </c>
      <c r="K198">
        <f t="shared" si="11"/>
        <v>-0.91633390070130194</v>
      </c>
      <c r="L198" t="e">
        <f t="shared" si="11"/>
        <v>#DIV/0!</v>
      </c>
      <c r="M198">
        <f t="shared" si="11"/>
        <v>-0.95347166033251085</v>
      </c>
      <c r="N198">
        <f t="shared" si="11"/>
        <v>2.3715985111341835</v>
      </c>
      <c r="O198">
        <f t="shared" si="12"/>
        <v>-2.7214486490960547E-3</v>
      </c>
    </row>
    <row r="199" spans="1:15" x14ac:dyDescent="0.4">
      <c r="A199">
        <v>29</v>
      </c>
      <c r="B199">
        <v>4</v>
      </c>
      <c r="C199">
        <v>90</v>
      </c>
      <c r="D199" t="s">
        <v>345</v>
      </c>
      <c r="E199">
        <v>1937</v>
      </c>
      <c r="F199">
        <v>14.2</v>
      </c>
      <c r="G199">
        <v>76</v>
      </c>
      <c r="H199">
        <v>2</v>
      </c>
      <c r="I199" t="s">
        <v>143</v>
      </c>
      <c r="J199">
        <f t="shared" si="10"/>
        <v>-0.85632057097941794</v>
      </c>
      <c r="K199">
        <f t="shared" si="11"/>
        <v>-0.99315447864026762</v>
      </c>
      <c r="L199" t="e">
        <f t="shared" si="11"/>
        <v>#DIV/0!</v>
      </c>
      <c r="M199">
        <f t="shared" si="11"/>
        <v>-1.2218638456545352</v>
      </c>
      <c r="N199">
        <f t="shared" si="11"/>
        <v>-0.49672477182465125</v>
      </c>
      <c r="O199">
        <f t="shared" si="12"/>
        <v>-2.7214486490960547E-3</v>
      </c>
    </row>
    <row r="200" spans="1:15" x14ac:dyDescent="0.4">
      <c r="A200">
        <v>33</v>
      </c>
      <c r="B200">
        <v>4</v>
      </c>
      <c r="C200">
        <v>91</v>
      </c>
      <c r="D200" t="s">
        <v>379</v>
      </c>
      <c r="E200">
        <v>1795</v>
      </c>
      <c r="F200">
        <v>17.399999999999999</v>
      </c>
      <c r="G200">
        <v>76</v>
      </c>
      <c r="H200">
        <v>3</v>
      </c>
      <c r="I200" t="s">
        <v>118</v>
      </c>
      <c r="J200">
        <f t="shared" si="10"/>
        <v>-0.85632057097941794</v>
      </c>
      <c r="K200">
        <f t="shared" si="11"/>
        <v>-0.98355190639789691</v>
      </c>
      <c r="L200" t="e">
        <f t="shared" si="11"/>
        <v>#DIV/0!</v>
      </c>
      <c r="M200">
        <f t="shared" si="11"/>
        <v>-1.3897567545343921</v>
      </c>
      <c r="N200">
        <f t="shared" si="11"/>
        <v>0.66512769722196474</v>
      </c>
      <c r="O200">
        <f t="shared" si="12"/>
        <v>-2.7214486490960547E-3</v>
      </c>
    </row>
    <row r="201" spans="1:15" x14ac:dyDescent="0.4">
      <c r="A201">
        <v>20</v>
      </c>
      <c r="B201">
        <v>6</v>
      </c>
      <c r="C201">
        <v>225</v>
      </c>
      <c r="D201" t="s">
        <v>337</v>
      </c>
      <c r="E201">
        <v>3651</v>
      </c>
      <c r="F201">
        <v>17.7</v>
      </c>
      <c r="G201">
        <v>76</v>
      </c>
      <c r="H201">
        <v>1</v>
      </c>
      <c r="I201" t="s">
        <v>144</v>
      </c>
      <c r="J201">
        <f t="shared" si="10"/>
        <v>0.3209353435276921</v>
      </c>
      <c r="K201">
        <f t="shared" si="11"/>
        <v>0.30319277407977752</v>
      </c>
      <c r="L201" t="e">
        <f t="shared" si="11"/>
        <v>#DIV/0!</v>
      </c>
      <c r="M201">
        <f t="shared" si="11"/>
        <v>0.80467450519105921</v>
      </c>
      <c r="N201">
        <f t="shared" si="11"/>
        <v>0.7740513661950853</v>
      </c>
      <c r="O201">
        <f t="shared" si="12"/>
        <v>-2.7214486490960547E-3</v>
      </c>
    </row>
    <row r="202" spans="1:15" x14ac:dyDescent="0.4">
      <c r="A202">
        <v>18</v>
      </c>
      <c r="B202">
        <v>6</v>
      </c>
      <c r="C202">
        <v>250</v>
      </c>
      <c r="D202" t="s">
        <v>369</v>
      </c>
      <c r="E202">
        <v>3574</v>
      </c>
      <c r="F202">
        <v>21</v>
      </c>
      <c r="G202">
        <v>76</v>
      </c>
      <c r="H202">
        <v>1</v>
      </c>
      <c r="I202" t="s">
        <v>145</v>
      </c>
      <c r="J202">
        <f t="shared" si="10"/>
        <v>0.3209353435276921</v>
      </c>
      <c r="K202">
        <f t="shared" si="11"/>
        <v>0.54325708013904517</v>
      </c>
      <c r="L202" t="e">
        <f t="shared" si="11"/>
        <v>#DIV/0!</v>
      </c>
      <c r="M202">
        <f t="shared" si="11"/>
        <v>0.71363398417874246</v>
      </c>
      <c r="N202">
        <f t="shared" si="11"/>
        <v>1.9722117248994084</v>
      </c>
      <c r="O202">
        <f t="shared" si="12"/>
        <v>-2.7214486490960547E-3</v>
      </c>
    </row>
    <row r="203" spans="1:15" x14ac:dyDescent="0.4">
      <c r="A203">
        <v>18.5</v>
      </c>
      <c r="B203">
        <v>6</v>
      </c>
      <c r="C203">
        <v>250</v>
      </c>
      <c r="D203" t="s">
        <v>342</v>
      </c>
      <c r="E203">
        <v>3645</v>
      </c>
      <c r="F203">
        <v>16.2</v>
      </c>
      <c r="G203">
        <v>76</v>
      </c>
      <c r="H203">
        <v>1</v>
      </c>
      <c r="I203" t="s">
        <v>146</v>
      </c>
      <c r="J203">
        <f t="shared" si="10"/>
        <v>0.3209353435276921</v>
      </c>
      <c r="K203">
        <f t="shared" si="11"/>
        <v>0.54325708013904517</v>
      </c>
      <c r="L203" t="e">
        <f t="shared" si="11"/>
        <v>#DIV/0!</v>
      </c>
      <c r="M203">
        <f t="shared" si="11"/>
        <v>0.79758043861867089</v>
      </c>
      <c r="N203">
        <f t="shared" si="11"/>
        <v>0.2294330213294839</v>
      </c>
      <c r="O203">
        <f t="shared" si="12"/>
        <v>-2.7214486490960547E-3</v>
      </c>
    </row>
    <row r="204" spans="1:15" x14ac:dyDescent="0.4">
      <c r="A204">
        <v>17.5</v>
      </c>
      <c r="B204">
        <v>6</v>
      </c>
      <c r="C204">
        <v>258</v>
      </c>
      <c r="D204" t="s">
        <v>325</v>
      </c>
      <c r="E204">
        <v>3193</v>
      </c>
      <c r="F204">
        <v>17.8</v>
      </c>
      <c r="G204">
        <v>76</v>
      </c>
      <c r="H204">
        <v>1</v>
      </c>
      <c r="I204" t="s">
        <v>147</v>
      </c>
      <c r="J204">
        <f t="shared" si="10"/>
        <v>0.3209353435276921</v>
      </c>
      <c r="K204">
        <f t="shared" si="11"/>
        <v>0.62007765807801074</v>
      </c>
      <c r="L204" t="e">
        <f t="shared" si="11"/>
        <v>#DIV/0!</v>
      </c>
      <c r="M204">
        <f t="shared" si="11"/>
        <v>0.26316075683208467</v>
      </c>
      <c r="N204">
        <f t="shared" si="11"/>
        <v>0.81035925585279256</v>
      </c>
      <c r="O204">
        <f t="shared" si="12"/>
        <v>-2.7214486490960547E-3</v>
      </c>
    </row>
    <row r="205" spans="1:15" x14ac:dyDescent="0.4">
      <c r="A205">
        <v>29.5</v>
      </c>
      <c r="B205">
        <v>4</v>
      </c>
      <c r="C205">
        <v>97</v>
      </c>
      <c r="D205" t="s">
        <v>376</v>
      </c>
      <c r="E205">
        <v>1825</v>
      </c>
      <c r="F205">
        <v>12.2</v>
      </c>
      <c r="G205">
        <v>76</v>
      </c>
      <c r="H205">
        <v>2</v>
      </c>
      <c r="I205" t="s">
        <v>133</v>
      </c>
      <c r="J205">
        <f t="shared" si="10"/>
        <v>-0.85632057097941794</v>
      </c>
      <c r="K205">
        <f t="shared" si="11"/>
        <v>-0.92593647294367265</v>
      </c>
      <c r="L205" t="e">
        <f t="shared" si="11"/>
        <v>#DIV/0!</v>
      </c>
      <c r="M205">
        <f t="shared" si="11"/>
        <v>-1.3542864216724504</v>
      </c>
      <c r="N205">
        <f t="shared" si="11"/>
        <v>-1.2228825649787864</v>
      </c>
      <c r="O205">
        <f t="shared" si="12"/>
        <v>-2.7214486490960547E-3</v>
      </c>
    </row>
    <row r="206" spans="1:15" x14ac:dyDescent="0.4">
      <c r="A206">
        <v>32</v>
      </c>
      <c r="B206">
        <v>4</v>
      </c>
      <c r="C206">
        <v>85</v>
      </c>
      <c r="D206" t="s">
        <v>345</v>
      </c>
      <c r="E206">
        <v>1990</v>
      </c>
      <c r="F206">
        <v>17</v>
      </c>
      <c r="G206">
        <v>76</v>
      </c>
      <c r="H206">
        <v>3</v>
      </c>
      <c r="I206" t="s">
        <v>148</v>
      </c>
      <c r="J206">
        <f t="shared" si="10"/>
        <v>-0.85632057097941794</v>
      </c>
      <c r="K206">
        <f t="shared" si="11"/>
        <v>-1.0411673398521211</v>
      </c>
      <c r="L206" t="e">
        <f t="shared" si="11"/>
        <v>#DIV/0!</v>
      </c>
      <c r="M206">
        <f t="shared" si="11"/>
        <v>-1.1591995909317718</v>
      </c>
      <c r="N206">
        <f t="shared" si="11"/>
        <v>0.51989613859113826</v>
      </c>
      <c r="O206">
        <f t="shared" si="12"/>
        <v>-2.7214486490960547E-3</v>
      </c>
    </row>
    <row r="207" spans="1:15" x14ac:dyDescent="0.4">
      <c r="A207">
        <v>28</v>
      </c>
      <c r="B207">
        <v>4</v>
      </c>
      <c r="C207">
        <v>97</v>
      </c>
      <c r="D207" t="s">
        <v>364</v>
      </c>
      <c r="E207">
        <v>2155</v>
      </c>
      <c r="F207">
        <v>16.399999999999999</v>
      </c>
      <c r="G207">
        <v>76</v>
      </c>
      <c r="H207">
        <v>3</v>
      </c>
      <c r="I207" t="s">
        <v>131</v>
      </c>
      <c r="J207">
        <f t="shared" si="10"/>
        <v>-0.85632057097941794</v>
      </c>
      <c r="K207">
        <f t="shared" si="11"/>
        <v>-0.92593647294367265</v>
      </c>
      <c r="L207" t="e">
        <f t="shared" si="11"/>
        <v>#DIV/0!</v>
      </c>
      <c r="M207">
        <f t="shared" si="11"/>
        <v>-0.96411276019109327</v>
      </c>
      <c r="N207">
        <f t="shared" si="11"/>
        <v>0.30204880064489714</v>
      </c>
      <c r="O207">
        <f t="shared" si="12"/>
        <v>-2.7214486490960547E-3</v>
      </c>
    </row>
    <row r="208" spans="1:15" x14ac:dyDescent="0.4">
      <c r="A208">
        <v>26.5</v>
      </c>
      <c r="B208">
        <v>4</v>
      </c>
      <c r="C208">
        <v>140</v>
      </c>
      <c r="D208" t="s">
        <v>343</v>
      </c>
      <c r="E208">
        <v>2565</v>
      </c>
      <c r="F208">
        <v>13.6</v>
      </c>
      <c r="G208">
        <v>76</v>
      </c>
      <c r="H208">
        <v>1</v>
      </c>
      <c r="I208" t="s">
        <v>31</v>
      </c>
      <c r="J208">
        <f t="shared" si="10"/>
        <v>-0.85632057097941794</v>
      </c>
      <c r="K208">
        <f t="shared" si="11"/>
        <v>-0.51302586652173232</v>
      </c>
      <c r="L208" t="e">
        <f t="shared" si="11"/>
        <v>#DIV/0!</v>
      </c>
      <c r="M208">
        <f t="shared" si="11"/>
        <v>-0.47935154441122529</v>
      </c>
      <c r="N208">
        <f t="shared" si="11"/>
        <v>-0.71457210977089158</v>
      </c>
      <c r="O208">
        <f t="shared" si="12"/>
        <v>-2.7214486490960547E-3</v>
      </c>
    </row>
    <row r="209" spans="1:15" x14ac:dyDescent="0.4">
      <c r="A209">
        <v>20</v>
      </c>
      <c r="B209">
        <v>4</v>
      </c>
      <c r="C209">
        <v>130</v>
      </c>
      <c r="D209" t="s">
        <v>384</v>
      </c>
      <c r="E209">
        <v>3150</v>
      </c>
      <c r="F209">
        <v>15.7</v>
      </c>
      <c r="G209">
        <v>76</v>
      </c>
      <c r="H209">
        <v>2</v>
      </c>
      <c r="I209" t="s">
        <v>149</v>
      </c>
      <c r="J209">
        <f t="shared" si="10"/>
        <v>-0.85632057097941794</v>
      </c>
      <c r="K209">
        <f t="shared" si="11"/>
        <v>-0.60905158894543943</v>
      </c>
      <c r="L209" t="e">
        <f t="shared" si="11"/>
        <v>#DIV/0!</v>
      </c>
      <c r="M209">
        <f t="shared" si="11"/>
        <v>0.21231994639663512</v>
      </c>
      <c r="N209">
        <f t="shared" si="11"/>
        <v>4.789357304095012E-2</v>
      </c>
      <c r="O209">
        <f t="shared" si="12"/>
        <v>-2.7214486490960547E-3</v>
      </c>
    </row>
    <row r="210" spans="1:15" x14ac:dyDescent="0.4">
      <c r="A210">
        <v>13</v>
      </c>
      <c r="B210">
        <v>8</v>
      </c>
      <c r="C210">
        <v>318</v>
      </c>
      <c r="D210" t="s">
        <v>316</v>
      </c>
      <c r="E210">
        <v>3940</v>
      </c>
      <c r="F210">
        <v>13.2</v>
      </c>
      <c r="G210">
        <v>76</v>
      </c>
      <c r="H210">
        <v>1</v>
      </c>
      <c r="I210" t="s">
        <v>150</v>
      </c>
      <c r="J210">
        <f t="shared" si="10"/>
        <v>1.498191258034802</v>
      </c>
      <c r="K210">
        <f t="shared" si="11"/>
        <v>1.1962319926202531</v>
      </c>
      <c r="L210" t="e">
        <f t="shared" si="11"/>
        <v>#DIV/0!</v>
      </c>
      <c r="M210">
        <f t="shared" si="11"/>
        <v>1.1463720450944295</v>
      </c>
      <c r="N210">
        <f t="shared" si="11"/>
        <v>-0.85980366840171885</v>
      </c>
      <c r="O210">
        <f t="shared" si="12"/>
        <v>-2.7214486490960547E-3</v>
      </c>
    </row>
    <row r="211" spans="1:15" x14ac:dyDescent="0.4">
      <c r="A211">
        <v>19</v>
      </c>
      <c r="B211">
        <v>4</v>
      </c>
      <c r="C211">
        <v>120</v>
      </c>
      <c r="D211" t="s">
        <v>328</v>
      </c>
      <c r="E211">
        <v>3270</v>
      </c>
      <c r="F211">
        <v>21.9</v>
      </c>
      <c r="G211">
        <v>76</v>
      </c>
      <c r="H211">
        <v>2</v>
      </c>
      <c r="I211" t="s">
        <v>20</v>
      </c>
      <c r="J211">
        <f t="shared" si="10"/>
        <v>-0.85632057097941794</v>
      </c>
      <c r="K211">
        <f t="shared" si="11"/>
        <v>-0.70507731136914642</v>
      </c>
      <c r="L211" t="e">
        <f t="shared" si="11"/>
        <v>#DIV/0!</v>
      </c>
      <c r="M211">
        <f t="shared" si="11"/>
        <v>0.35420127784440136</v>
      </c>
      <c r="N211">
        <f t="shared" si="11"/>
        <v>2.2989827318187688</v>
      </c>
      <c r="O211">
        <f t="shared" si="12"/>
        <v>-2.7214486490960547E-3</v>
      </c>
    </row>
    <row r="212" spans="1:15" x14ac:dyDescent="0.4">
      <c r="A212">
        <v>19</v>
      </c>
      <c r="B212">
        <v>6</v>
      </c>
      <c r="C212">
        <v>156</v>
      </c>
      <c r="D212" t="s">
        <v>385</v>
      </c>
      <c r="E212">
        <v>2930</v>
      </c>
      <c r="F212">
        <v>15.5</v>
      </c>
      <c r="G212">
        <v>76</v>
      </c>
      <c r="H212">
        <v>3</v>
      </c>
      <c r="I212" t="s">
        <v>105</v>
      </c>
      <c r="J212">
        <f t="shared" si="10"/>
        <v>0.3209353435276921</v>
      </c>
      <c r="K212">
        <f t="shared" si="11"/>
        <v>-0.35938471064380106</v>
      </c>
      <c r="L212" t="e">
        <f t="shared" si="11"/>
        <v>#DIV/0!</v>
      </c>
      <c r="M212">
        <f t="shared" si="11"/>
        <v>-4.7795827924269646E-2</v>
      </c>
      <c r="N212">
        <f t="shared" si="11"/>
        <v>-2.4722206274463136E-2</v>
      </c>
      <c r="O212">
        <f t="shared" si="12"/>
        <v>-2.7214486490960547E-3</v>
      </c>
    </row>
    <row r="213" spans="1:15" x14ac:dyDescent="0.4">
      <c r="A213">
        <v>16.5</v>
      </c>
      <c r="B213">
        <v>6</v>
      </c>
      <c r="C213">
        <v>168</v>
      </c>
      <c r="D213" t="s">
        <v>382</v>
      </c>
      <c r="E213">
        <v>3820</v>
      </c>
      <c r="F213">
        <v>16.7</v>
      </c>
      <c r="G213">
        <v>76</v>
      </c>
      <c r="H213">
        <v>2</v>
      </c>
      <c r="I213" t="s">
        <v>151</v>
      </c>
      <c r="J213">
        <f t="shared" si="10"/>
        <v>0.3209353435276921</v>
      </c>
      <c r="K213">
        <f t="shared" si="11"/>
        <v>-0.24415384373535262</v>
      </c>
      <c r="L213" t="e">
        <f t="shared" si="11"/>
        <v>#DIV/0!</v>
      </c>
      <c r="M213">
        <f t="shared" si="11"/>
        <v>1.0044907136466632</v>
      </c>
      <c r="N213">
        <f t="shared" si="11"/>
        <v>0.4109724696180177</v>
      </c>
      <c r="O213">
        <f t="shared" si="12"/>
        <v>-2.7214486490960547E-3</v>
      </c>
    </row>
    <row r="214" spans="1:15" x14ac:dyDescent="0.4">
      <c r="A214">
        <v>16.5</v>
      </c>
      <c r="B214">
        <v>8</v>
      </c>
      <c r="C214">
        <v>350</v>
      </c>
      <c r="D214" t="s">
        <v>341</v>
      </c>
      <c r="E214">
        <v>4380</v>
      </c>
      <c r="F214">
        <v>12.1</v>
      </c>
      <c r="G214">
        <v>76</v>
      </c>
      <c r="H214">
        <v>1</v>
      </c>
      <c r="I214" t="s">
        <v>152</v>
      </c>
      <c r="J214">
        <f t="shared" si="10"/>
        <v>1.498191258034802</v>
      </c>
      <c r="K214">
        <f t="shared" si="11"/>
        <v>1.5035143043761157</v>
      </c>
      <c r="L214" t="e">
        <f t="shared" si="11"/>
        <v>#DIV/0!</v>
      </c>
      <c r="M214">
        <f t="shared" si="11"/>
        <v>1.6666035937362391</v>
      </c>
      <c r="N214">
        <f t="shared" si="11"/>
        <v>-1.2591904546364929</v>
      </c>
      <c r="O214">
        <f t="shared" si="12"/>
        <v>-2.7214486490960547E-3</v>
      </c>
    </row>
    <row r="215" spans="1:15" x14ac:dyDescent="0.4">
      <c r="A215">
        <v>13</v>
      </c>
      <c r="B215">
        <v>8</v>
      </c>
      <c r="C215">
        <v>350</v>
      </c>
      <c r="D215" t="s">
        <v>356</v>
      </c>
      <c r="E215">
        <v>4055</v>
      </c>
      <c r="F215">
        <v>12</v>
      </c>
      <c r="G215">
        <v>76</v>
      </c>
      <c r="H215">
        <v>1</v>
      </c>
      <c r="I215" t="s">
        <v>153</v>
      </c>
      <c r="J215">
        <f t="shared" si="10"/>
        <v>1.498191258034802</v>
      </c>
      <c r="K215">
        <f t="shared" si="11"/>
        <v>1.5035143043761157</v>
      </c>
      <c r="L215" t="e">
        <f t="shared" si="11"/>
        <v>#DIV/0!</v>
      </c>
      <c r="M215">
        <f t="shared" si="11"/>
        <v>1.2823416543985389</v>
      </c>
      <c r="N215">
        <f t="shared" si="11"/>
        <v>-1.2954983442941996</v>
      </c>
      <c r="O215">
        <f t="shared" si="12"/>
        <v>-2.7214486490960547E-3</v>
      </c>
    </row>
    <row r="216" spans="1:15" x14ac:dyDescent="0.4">
      <c r="A216">
        <v>13</v>
      </c>
      <c r="B216">
        <v>8</v>
      </c>
      <c r="C216">
        <v>302</v>
      </c>
      <c r="D216" t="s">
        <v>314</v>
      </c>
      <c r="E216">
        <v>3870</v>
      </c>
      <c r="F216">
        <v>15</v>
      </c>
      <c r="G216">
        <v>76</v>
      </c>
      <c r="H216">
        <v>1</v>
      </c>
      <c r="I216" t="s">
        <v>154</v>
      </c>
      <c r="J216">
        <f t="shared" si="10"/>
        <v>1.498191258034802</v>
      </c>
      <c r="K216">
        <f t="shared" si="11"/>
        <v>1.0425908367423218</v>
      </c>
      <c r="L216" t="e">
        <f t="shared" si="11"/>
        <v>#DIV/0!</v>
      </c>
      <c r="M216">
        <f t="shared" si="11"/>
        <v>1.0636079350832326</v>
      </c>
      <c r="N216">
        <f t="shared" si="11"/>
        <v>-0.20626165456299692</v>
      </c>
      <c r="O216">
        <f t="shared" si="12"/>
        <v>-2.7214486490960547E-3</v>
      </c>
    </row>
    <row r="217" spans="1:15" x14ac:dyDescent="0.4">
      <c r="A217">
        <v>13</v>
      </c>
      <c r="B217">
        <v>8</v>
      </c>
      <c r="C217">
        <v>318</v>
      </c>
      <c r="D217" t="s">
        <v>316</v>
      </c>
      <c r="E217">
        <v>3755</v>
      </c>
      <c r="F217">
        <v>14</v>
      </c>
      <c r="G217">
        <v>76</v>
      </c>
      <c r="H217">
        <v>1</v>
      </c>
      <c r="I217" t="s">
        <v>155</v>
      </c>
      <c r="J217">
        <f t="shared" si="10"/>
        <v>1.498191258034802</v>
      </c>
      <c r="K217">
        <f t="shared" si="11"/>
        <v>1.1962319926202531</v>
      </c>
      <c r="L217" t="e">
        <f t="shared" si="11"/>
        <v>#DIV/0!</v>
      </c>
      <c r="M217">
        <f t="shared" si="11"/>
        <v>0.92763832577912331</v>
      </c>
      <c r="N217">
        <f t="shared" si="11"/>
        <v>-0.56934055114006443</v>
      </c>
      <c r="O217">
        <f t="shared" si="12"/>
        <v>-2.7214486490960547E-3</v>
      </c>
    </row>
    <row r="218" spans="1:15" x14ac:dyDescent="0.4">
      <c r="A218">
        <v>31.5</v>
      </c>
      <c r="B218">
        <v>4</v>
      </c>
      <c r="C218">
        <v>98</v>
      </c>
      <c r="D218" t="s">
        <v>386</v>
      </c>
      <c r="E218">
        <v>2045</v>
      </c>
      <c r="F218">
        <v>18.5</v>
      </c>
      <c r="G218">
        <v>77</v>
      </c>
      <c r="H218">
        <v>3</v>
      </c>
      <c r="I218" t="s">
        <v>156</v>
      </c>
      <c r="J218">
        <f t="shared" si="10"/>
        <v>-0.85632057097941794</v>
      </c>
      <c r="K218">
        <f t="shared" si="11"/>
        <v>-0.91633390070130194</v>
      </c>
      <c r="L218" t="e">
        <f t="shared" si="11"/>
        <v>#DIV/0!</v>
      </c>
      <c r="M218">
        <f t="shared" si="11"/>
        <v>-1.0941706473515456</v>
      </c>
      <c r="N218">
        <f t="shared" si="11"/>
        <v>1.0645144834567395</v>
      </c>
      <c r="O218">
        <f t="shared" si="12"/>
        <v>0.26806269193577476</v>
      </c>
    </row>
    <row r="219" spans="1:15" x14ac:dyDescent="0.4">
      <c r="A219">
        <v>30</v>
      </c>
      <c r="B219">
        <v>4</v>
      </c>
      <c r="C219">
        <v>111</v>
      </c>
      <c r="D219" t="s">
        <v>350</v>
      </c>
      <c r="E219">
        <v>2155</v>
      </c>
      <c r="F219">
        <v>14.8</v>
      </c>
      <c r="G219">
        <v>77</v>
      </c>
      <c r="H219">
        <v>1</v>
      </c>
      <c r="I219" t="s">
        <v>157</v>
      </c>
      <c r="J219">
        <f t="shared" si="10"/>
        <v>-0.85632057097941794</v>
      </c>
      <c r="K219">
        <f t="shared" si="11"/>
        <v>-0.79150046155048281</v>
      </c>
      <c r="L219" t="e">
        <f t="shared" si="11"/>
        <v>#DIV/0!</v>
      </c>
      <c r="M219">
        <f t="shared" si="11"/>
        <v>-0.96411276019109327</v>
      </c>
      <c r="N219">
        <f t="shared" si="11"/>
        <v>-0.27887743387841019</v>
      </c>
      <c r="O219">
        <f t="shared" si="12"/>
        <v>0.26806269193577476</v>
      </c>
    </row>
    <row r="220" spans="1:15" x14ac:dyDescent="0.4">
      <c r="A220">
        <v>36</v>
      </c>
      <c r="B220">
        <v>4</v>
      </c>
      <c r="C220">
        <v>79</v>
      </c>
      <c r="D220" t="s">
        <v>387</v>
      </c>
      <c r="E220">
        <v>1825</v>
      </c>
      <c r="F220">
        <v>18.600000000000001</v>
      </c>
      <c r="G220">
        <v>77</v>
      </c>
      <c r="H220">
        <v>2</v>
      </c>
      <c r="I220" t="s">
        <v>158</v>
      </c>
      <c r="J220">
        <f t="shared" si="10"/>
        <v>-0.85632057097941794</v>
      </c>
      <c r="K220">
        <f t="shared" si="11"/>
        <v>-1.0987827733063453</v>
      </c>
      <c r="L220" t="e">
        <f t="shared" si="11"/>
        <v>#DIV/0!</v>
      </c>
      <c r="M220">
        <f t="shared" si="11"/>
        <v>-1.3542864216724504</v>
      </c>
      <c r="N220">
        <f t="shared" si="11"/>
        <v>1.1008223731144469</v>
      </c>
      <c r="O220">
        <f t="shared" si="12"/>
        <v>0.26806269193577476</v>
      </c>
    </row>
    <row r="221" spans="1:15" x14ac:dyDescent="0.4">
      <c r="A221">
        <v>25.5</v>
      </c>
      <c r="B221">
        <v>4</v>
      </c>
      <c r="C221">
        <v>122</v>
      </c>
      <c r="D221" t="s">
        <v>375</v>
      </c>
      <c r="E221">
        <v>2300</v>
      </c>
      <c r="F221">
        <v>15.5</v>
      </c>
      <c r="G221">
        <v>77</v>
      </c>
      <c r="H221">
        <v>1</v>
      </c>
      <c r="I221" t="s">
        <v>159</v>
      </c>
      <c r="J221">
        <f t="shared" si="10"/>
        <v>-0.85632057097941794</v>
      </c>
      <c r="K221">
        <f t="shared" si="11"/>
        <v>-0.685872166884405</v>
      </c>
      <c r="L221" t="e">
        <f t="shared" si="11"/>
        <v>#DIV/0!</v>
      </c>
      <c r="M221">
        <f t="shared" si="11"/>
        <v>-0.79267281802504241</v>
      </c>
      <c r="N221">
        <f t="shared" si="11"/>
        <v>-2.4722206274463136E-2</v>
      </c>
      <c r="O221">
        <f t="shared" si="12"/>
        <v>0.26806269193577476</v>
      </c>
    </row>
    <row r="222" spans="1:15" x14ac:dyDescent="0.4">
      <c r="A222">
        <v>33.5</v>
      </c>
      <c r="B222">
        <v>4</v>
      </c>
      <c r="C222">
        <v>85</v>
      </c>
      <c r="D222" t="s">
        <v>345</v>
      </c>
      <c r="E222">
        <v>1945</v>
      </c>
      <c r="F222">
        <v>16.8</v>
      </c>
      <c r="G222">
        <v>77</v>
      </c>
      <c r="H222">
        <v>3</v>
      </c>
      <c r="I222" t="s">
        <v>160</v>
      </c>
      <c r="J222">
        <f t="shared" si="10"/>
        <v>-0.85632057097941794</v>
      </c>
      <c r="K222">
        <f t="shared" si="11"/>
        <v>-1.0411673398521211</v>
      </c>
      <c r="L222" t="e">
        <f t="shared" si="11"/>
        <v>#DIV/0!</v>
      </c>
      <c r="M222">
        <f t="shared" si="11"/>
        <v>-1.2124050902246841</v>
      </c>
      <c r="N222">
        <f t="shared" si="11"/>
        <v>0.44728035927572496</v>
      </c>
      <c r="O222">
        <f t="shared" si="12"/>
        <v>0.26806269193577476</v>
      </c>
    </row>
    <row r="223" spans="1:15" x14ac:dyDescent="0.4">
      <c r="A223">
        <v>17.5</v>
      </c>
      <c r="B223">
        <v>8</v>
      </c>
      <c r="C223">
        <v>305</v>
      </c>
      <c r="D223" t="s">
        <v>356</v>
      </c>
      <c r="E223">
        <v>3880</v>
      </c>
      <c r="F223">
        <v>12.5</v>
      </c>
      <c r="G223">
        <v>77</v>
      </c>
      <c r="H223">
        <v>1</v>
      </c>
      <c r="I223" t="s">
        <v>80</v>
      </c>
      <c r="J223">
        <f t="shared" si="10"/>
        <v>1.498191258034802</v>
      </c>
      <c r="K223">
        <f t="shared" si="11"/>
        <v>1.0713985534694339</v>
      </c>
      <c r="L223" t="e">
        <f t="shared" si="11"/>
        <v>#DIV/0!</v>
      </c>
      <c r="M223">
        <f t="shared" si="11"/>
        <v>1.0754313793705463</v>
      </c>
      <c r="N223">
        <f t="shared" si="11"/>
        <v>-1.1139588960056659</v>
      </c>
      <c r="O223">
        <f t="shared" si="12"/>
        <v>0.26806269193577476</v>
      </c>
    </row>
    <row r="224" spans="1:15" x14ac:dyDescent="0.4">
      <c r="A224">
        <v>17</v>
      </c>
      <c r="B224">
        <v>8</v>
      </c>
      <c r="C224">
        <v>260</v>
      </c>
      <c r="D224" t="s">
        <v>342</v>
      </c>
      <c r="E224">
        <v>4060</v>
      </c>
      <c r="F224">
        <v>19</v>
      </c>
      <c r="G224">
        <v>77</v>
      </c>
      <c r="H224">
        <v>1</v>
      </c>
      <c r="I224" t="s">
        <v>161</v>
      </c>
      <c r="J224">
        <f t="shared" si="10"/>
        <v>1.498191258034802</v>
      </c>
      <c r="K224">
        <f t="shared" si="11"/>
        <v>0.63928280256275216</v>
      </c>
      <c r="L224" t="e">
        <f t="shared" si="11"/>
        <v>#DIV/0!</v>
      </c>
      <c r="M224">
        <f t="shared" si="11"/>
        <v>1.2882533765421957</v>
      </c>
      <c r="N224">
        <f t="shared" si="11"/>
        <v>1.2460539317452732</v>
      </c>
      <c r="O224">
        <f t="shared" si="12"/>
        <v>0.26806269193577476</v>
      </c>
    </row>
    <row r="225" spans="1:15" x14ac:dyDescent="0.4">
      <c r="A225">
        <v>15.5</v>
      </c>
      <c r="B225">
        <v>8</v>
      </c>
      <c r="C225">
        <v>318</v>
      </c>
      <c r="D225" t="s">
        <v>356</v>
      </c>
      <c r="E225">
        <v>4140</v>
      </c>
      <c r="F225">
        <v>13.7</v>
      </c>
      <c r="G225">
        <v>77</v>
      </c>
      <c r="H225">
        <v>1</v>
      </c>
      <c r="I225" t="s">
        <v>162</v>
      </c>
      <c r="J225">
        <f t="shared" si="10"/>
        <v>1.498191258034802</v>
      </c>
      <c r="K225">
        <f t="shared" si="11"/>
        <v>1.1962319926202531</v>
      </c>
      <c r="L225" t="e">
        <f t="shared" si="11"/>
        <v>#DIV/0!</v>
      </c>
      <c r="M225">
        <f t="shared" si="11"/>
        <v>1.3828409308407066</v>
      </c>
      <c r="N225">
        <f t="shared" si="11"/>
        <v>-0.67826422011318499</v>
      </c>
      <c r="O225">
        <f t="shared" si="12"/>
        <v>0.26806269193577476</v>
      </c>
    </row>
    <row r="226" spans="1:15" x14ac:dyDescent="0.4">
      <c r="A226">
        <v>15</v>
      </c>
      <c r="B226">
        <v>8</v>
      </c>
      <c r="C226">
        <v>302</v>
      </c>
      <c r="D226" t="s">
        <v>314</v>
      </c>
      <c r="E226">
        <v>4295</v>
      </c>
      <c r="F226">
        <v>14.9</v>
      </c>
      <c r="G226">
        <v>77</v>
      </c>
      <c r="H226">
        <v>1</v>
      </c>
      <c r="I226" t="s">
        <v>163</v>
      </c>
      <c r="J226">
        <f t="shared" si="10"/>
        <v>1.498191258034802</v>
      </c>
      <c r="K226">
        <f t="shared" si="11"/>
        <v>1.0425908367423218</v>
      </c>
      <c r="L226" t="e">
        <f t="shared" si="11"/>
        <v>#DIV/0!</v>
      </c>
      <c r="M226">
        <f t="shared" si="11"/>
        <v>1.5661043172940714</v>
      </c>
      <c r="N226">
        <f t="shared" si="11"/>
        <v>-0.24256954422070354</v>
      </c>
      <c r="O226">
        <f t="shared" si="12"/>
        <v>0.26806269193577476</v>
      </c>
    </row>
    <row r="227" spans="1:15" x14ac:dyDescent="0.4">
      <c r="A227">
        <v>17.5</v>
      </c>
      <c r="B227">
        <v>6</v>
      </c>
      <c r="C227">
        <v>250</v>
      </c>
      <c r="D227" t="s">
        <v>342</v>
      </c>
      <c r="E227">
        <v>3520</v>
      </c>
      <c r="F227">
        <v>16.399999999999999</v>
      </c>
      <c r="G227">
        <v>77</v>
      </c>
      <c r="H227">
        <v>1</v>
      </c>
      <c r="I227" t="s">
        <v>164</v>
      </c>
      <c r="J227">
        <f t="shared" si="10"/>
        <v>0.3209353435276921</v>
      </c>
      <c r="K227">
        <f t="shared" si="11"/>
        <v>0.54325708013904517</v>
      </c>
      <c r="L227" t="e">
        <f t="shared" si="11"/>
        <v>#DIV/0!</v>
      </c>
      <c r="M227">
        <f t="shared" si="11"/>
        <v>0.64978738502724775</v>
      </c>
      <c r="N227">
        <f t="shared" si="11"/>
        <v>0.30204880064489714</v>
      </c>
      <c r="O227">
        <f t="shared" si="12"/>
        <v>0.26806269193577476</v>
      </c>
    </row>
    <row r="228" spans="1:15" x14ac:dyDescent="0.4">
      <c r="A228">
        <v>20.5</v>
      </c>
      <c r="B228">
        <v>6</v>
      </c>
      <c r="C228">
        <v>231</v>
      </c>
      <c r="D228" t="s">
        <v>338</v>
      </c>
      <c r="E228">
        <v>3425</v>
      </c>
      <c r="F228">
        <v>16.899999999999999</v>
      </c>
      <c r="G228">
        <v>77</v>
      </c>
      <c r="H228">
        <v>1</v>
      </c>
      <c r="I228" t="s">
        <v>165</v>
      </c>
      <c r="J228">
        <f t="shared" si="10"/>
        <v>0.3209353435276921</v>
      </c>
      <c r="K228">
        <f t="shared" si="11"/>
        <v>0.36080820753400178</v>
      </c>
      <c r="L228" t="e">
        <f t="shared" si="11"/>
        <v>#DIV/0!</v>
      </c>
      <c r="M228">
        <f t="shared" si="11"/>
        <v>0.53746466429776607</v>
      </c>
      <c r="N228">
        <f t="shared" si="11"/>
        <v>0.48358824893343094</v>
      </c>
      <c r="O228">
        <f t="shared" si="12"/>
        <v>0.26806269193577476</v>
      </c>
    </row>
    <row r="229" spans="1:15" x14ac:dyDescent="0.4">
      <c r="A229">
        <v>19</v>
      </c>
      <c r="B229">
        <v>6</v>
      </c>
      <c r="C229">
        <v>225</v>
      </c>
      <c r="D229" t="s">
        <v>337</v>
      </c>
      <c r="E229">
        <v>3630</v>
      </c>
      <c r="F229">
        <v>17.7</v>
      </c>
      <c r="G229">
        <v>77</v>
      </c>
      <c r="H229">
        <v>1</v>
      </c>
      <c r="I229" t="s">
        <v>166</v>
      </c>
      <c r="J229">
        <f t="shared" si="10"/>
        <v>0.3209353435276921</v>
      </c>
      <c r="K229">
        <f t="shared" si="11"/>
        <v>0.30319277407977752</v>
      </c>
      <c r="L229" t="e">
        <f t="shared" si="11"/>
        <v>#DIV/0!</v>
      </c>
      <c r="M229">
        <f t="shared" si="11"/>
        <v>0.77984527218770006</v>
      </c>
      <c r="N229">
        <f t="shared" si="11"/>
        <v>0.7740513661950853</v>
      </c>
      <c r="O229">
        <f t="shared" si="12"/>
        <v>0.26806269193577476</v>
      </c>
    </row>
    <row r="230" spans="1:15" x14ac:dyDescent="0.4">
      <c r="A230">
        <v>18.5</v>
      </c>
      <c r="B230">
        <v>6</v>
      </c>
      <c r="C230">
        <v>250</v>
      </c>
      <c r="D230" t="s">
        <v>377</v>
      </c>
      <c r="E230">
        <v>3525</v>
      </c>
      <c r="F230">
        <v>19</v>
      </c>
      <c r="G230">
        <v>77</v>
      </c>
      <c r="H230">
        <v>1</v>
      </c>
      <c r="I230" t="s">
        <v>167</v>
      </c>
      <c r="J230">
        <f t="shared" si="10"/>
        <v>0.3209353435276921</v>
      </c>
      <c r="K230">
        <f t="shared" si="11"/>
        <v>0.54325708013904517</v>
      </c>
      <c r="L230" t="e">
        <f t="shared" si="11"/>
        <v>#DIV/0!</v>
      </c>
      <c r="M230">
        <f t="shared" si="11"/>
        <v>0.65569910717090463</v>
      </c>
      <c r="N230">
        <f t="shared" si="11"/>
        <v>1.2460539317452732</v>
      </c>
      <c r="O230">
        <f t="shared" si="12"/>
        <v>0.26806269193577476</v>
      </c>
    </row>
    <row r="231" spans="1:15" x14ac:dyDescent="0.4">
      <c r="A231">
        <v>16</v>
      </c>
      <c r="B231">
        <v>8</v>
      </c>
      <c r="C231">
        <v>400</v>
      </c>
      <c r="D231" t="s">
        <v>341</v>
      </c>
      <c r="E231">
        <v>4220</v>
      </c>
      <c r="F231">
        <v>11.1</v>
      </c>
      <c r="G231">
        <v>77</v>
      </c>
      <c r="H231">
        <v>1</v>
      </c>
      <c r="I231" t="s">
        <v>168</v>
      </c>
      <c r="J231">
        <f t="shared" si="10"/>
        <v>1.498191258034802</v>
      </c>
      <c r="K231">
        <f t="shared" si="11"/>
        <v>1.9836429164946507</v>
      </c>
      <c r="L231" t="e">
        <f t="shared" si="11"/>
        <v>#DIV/0!</v>
      </c>
      <c r="M231">
        <f t="shared" si="11"/>
        <v>1.4774284851392174</v>
      </c>
      <c r="N231">
        <f t="shared" si="11"/>
        <v>-1.6222693512135606</v>
      </c>
      <c r="O231">
        <f t="shared" si="12"/>
        <v>0.26806269193577476</v>
      </c>
    </row>
    <row r="232" spans="1:15" x14ac:dyDescent="0.4">
      <c r="A232">
        <v>15.5</v>
      </c>
      <c r="B232">
        <v>8</v>
      </c>
      <c r="C232">
        <v>350</v>
      </c>
      <c r="D232" t="s">
        <v>323</v>
      </c>
      <c r="E232">
        <v>4165</v>
      </c>
      <c r="F232">
        <v>11.4</v>
      </c>
      <c r="G232">
        <v>77</v>
      </c>
      <c r="H232">
        <v>1</v>
      </c>
      <c r="I232" t="s">
        <v>169</v>
      </c>
      <c r="J232">
        <f t="shared" si="10"/>
        <v>1.498191258034802</v>
      </c>
      <c r="K232">
        <f t="shared" si="11"/>
        <v>1.5035143043761157</v>
      </c>
      <c r="L232" t="e">
        <f t="shared" si="11"/>
        <v>#DIV/0!</v>
      </c>
      <c r="M232">
        <f t="shared" si="11"/>
        <v>1.4123995415589912</v>
      </c>
      <c r="N232">
        <f t="shared" si="11"/>
        <v>-1.5133456822404401</v>
      </c>
      <c r="O232">
        <f t="shared" si="12"/>
        <v>0.26806269193577476</v>
      </c>
    </row>
    <row r="233" spans="1:15" x14ac:dyDescent="0.4">
      <c r="A233">
        <v>15.5</v>
      </c>
      <c r="B233">
        <v>8</v>
      </c>
      <c r="C233">
        <v>400</v>
      </c>
      <c r="D233" t="s">
        <v>322</v>
      </c>
      <c r="E233">
        <v>4325</v>
      </c>
      <c r="F233">
        <v>12.2</v>
      </c>
      <c r="G233">
        <v>77</v>
      </c>
      <c r="H233">
        <v>1</v>
      </c>
      <c r="I233" t="s">
        <v>170</v>
      </c>
      <c r="J233">
        <f t="shared" si="10"/>
        <v>1.498191258034802</v>
      </c>
      <c r="K233">
        <f t="shared" si="11"/>
        <v>1.9836429164946507</v>
      </c>
      <c r="L233" t="e">
        <f t="shared" si="11"/>
        <v>#DIV/0!</v>
      </c>
      <c r="M233">
        <f t="shared" si="11"/>
        <v>1.6015746501560129</v>
      </c>
      <c r="N233">
        <f t="shared" si="11"/>
        <v>-1.2228825649787864</v>
      </c>
      <c r="O233">
        <f t="shared" si="12"/>
        <v>0.26806269193577476</v>
      </c>
    </row>
    <row r="234" spans="1:15" x14ac:dyDescent="0.4">
      <c r="A234">
        <v>16</v>
      </c>
      <c r="B234">
        <v>8</v>
      </c>
      <c r="C234">
        <v>351</v>
      </c>
      <c r="D234" t="s">
        <v>388</v>
      </c>
      <c r="E234">
        <v>4335</v>
      </c>
      <c r="F234">
        <v>14.5</v>
      </c>
      <c r="G234">
        <v>77</v>
      </c>
      <c r="H234">
        <v>1</v>
      </c>
      <c r="I234" t="s">
        <v>171</v>
      </c>
      <c r="J234">
        <f t="shared" si="10"/>
        <v>1.498191258034802</v>
      </c>
      <c r="K234">
        <f t="shared" si="11"/>
        <v>1.5131168766184864</v>
      </c>
      <c r="L234" t="e">
        <f t="shared" si="11"/>
        <v>#DIV/0!</v>
      </c>
      <c r="M234">
        <f t="shared" si="11"/>
        <v>1.6133980944433268</v>
      </c>
      <c r="N234">
        <f t="shared" si="11"/>
        <v>-0.38780110285153069</v>
      </c>
      <c r="O234">
        <f t="shared" si="12"/>
        <v>0.26806269193577476</v>
      </c>
    </row>
    <row r="235" spans="1:15" x14ac:dyDescent="0.4">
      <c r="A235">
        <v>29</v>
      </c>
      <c r="B235">
        <v>4</v>
      </c>
      <c r="C235">
        <v>97</v>
      </c>
      <c r="D235" t="s">
        <v>369</v>
      </c>
      <c r="E235">
        <v>1940</v>
      </c>
      <c r="F235">
        <v>14.5</v>
      </c>
      <c r="G235">
        <v>77</v>
      </c>
      <c r="H235">
        <v>2</v>
      </c>
      <c r="I235" t="s">
        <v>172</v>
      </c>
      <c r="J235">
        <f t="shared" si="10"/>
        <v>-0.85632057097941794</v>
      </c>
      <c r="K235">
        <f t="shared" si="11"/>
        <v>-0.92593647294367265</v>
      </c>
      <c r="L235" t="e">
        <f t="shared" si="11"/>
        <v>#DIV/0!</v>
      </c>
      <c r="M235">
        <f t="shared" si="11"/>
        <v>-1.2183168123683412</v>
      </c>
      <c r="N235">
        <f t="shared" si="11"/>
        <v>-0.38780110285153069</v>
      </c>
      <c r="O235">
        <f t="shared" si="12"/>
        <v>0.26806269193577476</v>
      </c>
    </row>
    <row r="236" spans="1:15" x14ac:dyDescent="0.4">
      <c r="A236">
        <v>24.5</v>
      </c>
      <c r="B236">
        <v>4</v>
      </c>
      <c r="C236">
        <v>151</v>
      </c>
      <c r="D236" t="s">
        <v>328</v>
      </c>
      <c r="E236">
        <v>2740</v>
      </c>
      <c r="F236">
        <v>16</v>
      </c>
      <c r="G236">
        <v>77</v>
      </c>
      <c r="H236">
        <v>1</v>
      </c>
      <c r="I236" t="s">
        <v>173</v>
      </c>
      <c r="J236">
        <f t="shared" si="10"/>
        <v>-0.85632057097941794</v>
      </c>
      <c r="K236">
        <f t="shared" si="11"/>
        <v>-0.40739757185565462</v>
      </c>
      <c r="L236" t="e">
        <f t="shared" si="11"/>
        <v>#DIV/0!</v>
      </c>
      <c r="M236">
        <f t="shared" si="11"/>
        <v>-0.27244126938323288</v>
      </c>
      <c r="N236">
        <f t="shared" si="11"/>
        <v>0.15681724201407066</v>
      </c>
      <c r="O236">
        <f t="shared" si="12"/>
        <v>0.26806269193577476</v>
      </c>
    </row>
    <row r="237" spans="1:15" x14ac:dyDescent="0.4">
      <c r="A237">
        <v>26</v>
      </c>
      <c r="B237">
        <v>4</v>
      </c>
      <c r="C237">
        <v>97</v>
      </c>
      <c r="D237" t="s">
        <v>364</v>
      </c>
      <c r="E237">
        <v>2265</v>
      </c>
      <c r="F237">
        <v>18.2</v>
      </c>
      <c r="G237">
        <v>77</v>
      </c>
      <c r="H237">
        <v>3</v>
      </c>
      <c r="I237" t="s">
        <v>174</v>
      </c>
      <c r="J237">
        <f t="shared" si="10"/>
        <v>-0.85632057097941794</v>
      </c>
      <c r="K237">
        <f t="shared" si="11"/>
        <v>-0.92593647294367265</v>
      </c>
      <c r="L237" t="e">
        <f t="shared" si="11"/>
        <v>#DIV/0!</v>
      </c>
      <c r="M237">
        <f t="shared" si="11"/>
        <v>-0.83405487303064085</v>
      </c>
      <c r="N237">
        <f t="shared" si="11"/>
        <v>0.95559081448361904</v>
      </c>
      <c r="O237">
        <f t="shared" si="12"/>
        <v>0.26806269193577476</v>
      </c>
    </row>
    <row r="238" spans="1:15" x14ac:dyDescent="0.4">
      <c r="A238">
        <v>25.5</v>
      </c>
      <c r="B238">
        <v>4</v>
      </c>
      <c r="C238">
        <v>140</v>
      </c>
      <c r="D238" t="s">
        <v>389</v>
      </c>
      <c r="E238">
        <v>2755</v>
      </c>
      <c r="F238">
        <v>15.8</v>
      </c>
      <c r="G238">
        <v>77</v>
      </c>
      <c r="H238">
        <v>1</v>
      </c>
      <c r="I238" t="s">
        <v>175</v>
      </c>
      <c r="J238">
        <f t="shared" si="10"/>
        <v>-0.85632057097941794</v>
      </c>
      <c r="K238">
        <f t="shared" si="11"/>
        <v>-0.51302586652173232</v>
      </c>
      <c r="L238" t="e">
        <f t="shared" si="11"/>
        <v>#DIV/0!</v>
      </c>
      <c r="M238">
        <f t="shared" si="11"/>
        <v>-0.25470610295226209</v>
      </c>
      <c r="N238">
        <f t="shared" si="11"/>
        <v>8.4201462698657387E-2</v>
      </c>
      <c r="O238">
        <f t="shared" si="12"/>
        <v>0.26806269193577476</v>
      </c>
    </row>
    <row r="239" spans="1:15" x14ac:dyDescent="0.4">
      <c r="A239">
        <v>30.5</v>
      </c>
      <c r="B239">
        <v>4</v>
      </c>
      <c r="C239">
        <v>98</v>
      </c>
      <c r="D239" t="s">
        <v>390</v>
      </c>
      <c r="E239">
        <v>2051</v>
      </c>
      <c r="F239">
        <v>17</v>
      </c>
      <c r="G239">
        <v>77</v>
      </c>
      <c r="H239">
        <v>1</v>
      </c>
      <c r="I239" t="s">
        <v>141</v>
      </c>
      <c r="J239">
        <f t="shared" si="10"/>
        <v>-0.85632057097941794</v>
      </c>
      <c r="K239">
        <f t="shared" si="11"/>
        <v>-0.91633390070130194</v>
      </c>
      <c r="L239" t="e">
        <f t="shared" si="11"/>
        <v>#DIV/0!</v>
      </c>
      <c r="M239">
        <f t="shared" si="11"/>
        <v>-1.0870765807791574</v>
      </c>
      <c r="N239">
        <f t="shared" si="11"/>
        <v>0.51989613859113826</v>
      </c>
      <c r="O239">
        <f t="shared" si="12"/>
        <v>0.26806269193577476</v>
      </c>
    </row>
    <row r="240" spans="1:15" x14ac:dyDescent="0.4">
      <c r="A240">
        <v>33.5</v>
      </c>
      <c r="B240">
        <v>4</v>
      </c>
      <c r="C240">
        <v>98</v>
      </c>
      <c r="D240" t="s">
        <v>368</v>
      </c>
      <c r="E240">
        <v>2075</v>
      </c>
      <c r="F240">
        <v>15.9</v>
      </c>
      <c r="G240">
        <v>77</v>
      </c>
      <c r="H240">
        <v>1</v>
      </c>
      <c r="I240" t="s">
        <v>176</v>
      </c>
      <c r="J240">
        <f t="shared" si="10"/>
        <v>-0.85632057097941794</v>
      </c>
      <c r="K240">
        <f t="shared" si="11"/>
        <v>-0.91633390070130194</v>
      </c>
      <c r="L240" t="e">
        <f t="shared" si="11"/>
        <v>#DIV/0!</v>
      </c>
      <c r="M240">
        <f t="shared" si="11"/>
        <v>-1.0587003144896041</v>
      </c>
      <c r="N240">
        <f t="shared" si="11"/>
        <v>0.12050935235636402</v>
      </c>
      <c r="O240">
        <f t="shared" si="12"/>
        <v>0.26806269193577476</v>
      </c>
    </row>
    <row r="241" spans="1:15" x14ac:dyDescent="0.4">
      <c r="A241">
        <v>30</v>
      </c>
      <c r="B241">
        <v>4</v>
      </c>
      <c r="C241">
        <v>97</v>
      </c>
      <c r="D241" t="s">
        <v>367</v>
      </c>
      <c r="E241">
        <v>1985</v>
      </c>
      <c r="F241">
        <v>16.399999999999999</v>
      </c>
      <c r="G241">
        <v>77</v>
      </c>
      <c r="H241">
        <v>3</v>
      </c>
      <c r="I241" t="s">
        <v>177</v>
      </c>
      <c r="J241">
        <f t="shared" si="10"/>
        <v>-0.85632057097941794</v>
      </c>
      <c r="K241">
        <f t="shared" si="11"/>
        <v>-0.92593647294367265</v>
      </c>
      <c r="L241" t="e">
        <f t="shared" si="11"/>
        <v>#DIV/0!</v>
      </c>
      <c r="M241">
        <f t="shared" si="11"/>
        <v>-1.1651113130754287</v>
      </c>
      <c r="N241">
        <f t="shared" si="11"/>
        <v>0.30204880064489714</v>
      </c>
      <c r="O241">
        <f t="shared" si="12"/>
        <v>0.26806269193577476</v>
      </c>
    </row>
    <row r="242" spans="1:15" x14ac:dyDescent="0.4">
      <c r="A242">
        <v>30.5</v>
      </c>
      <c r="B242">
        <v>4</v>
      </c>
      <c r="C242">
        <v>97</v>
      </c>
      <c r="D242" t="s">
        <v>369</v>
      </c>
      <c r="E242">
        <v>2190</v>
      </c>
      <c r="F242">
        <v>14.1</v>
      </c>
      <c r="G242">
        <v>77</v>
      </c>
      <c r="H242">
        <v>2</v>
      </c>
      <c r="I242" t="s">
        <v>114</v>
      </c>
      <c r="J242">
        <f t="shared" si="10"/>
        <v>-0.85632057097941794</v>
      </c>
      <c r="K242">
        <f t="shared" si="11"/>
        <v>-0.92593647294367265</v>
      </c>
      <c r="L242" t="e">
        <f t="shared" si="11"/>
        <v>#DIV/0!</v>
      </c>
      <c r="M242">
        <f t="shared" si="11"/>
        <v>-0.92273070518549483</v>
      </c>
      <c r="N242">
        <f t="shared" si="11"/>
        <v>-0.53303266148235784</v>
      </c>
      <c r="O242">
        <f t="shared" si="12"/>
        <v>0.26806269193577476</v>
      </c>
    </row>
    <row r="243" spans="1:15" x14ac:dyDescent="0.4">
      <c r="A243">
        <v>22</v>
      </c>
      <c r="B243">
        <v>6</v>
      </c>
      <c r="C243">
        <v>146</v>
      </c>
      <c r="D243" t="s">
        <v>326</v>
      </c>
      <c r="E243">
        <v>2815</v>
      </c>
      <c r="F243">
        <v>14.5</v>
      </c>
      <c r="G243">
        <v>77</v>
      </c>
      <c r="H243">
        <v>3</v>
      </c>
      <c r="I243" t="s">
        <v>178</v>
      </c>
      <c r="J243">
        <f t="shared" si="10"/>
        <v>0.3209353435276921</v>
      </c>
      <c r="K243">
        <f t="shared" si="11"/>
        <v>-0.45541043306750811</v>
      </c>
      <c r="L243" t="e">
        <f t="shared" si="11"/>
        <v>#DIV/0!</v>
      </c>
      <c r="M243">
        <f t="shared" si="11"/>
        <v>-0.18376543722837896</v>
      </c>
      <c r="N243">
        <f t="shared" si="11"/>
        <v>-0.38780110285153069</v>
      </c>
      <c r="O243">
        <f t="shared" si="12"/>
        <v>0.26806269193577476</v>
      </c>
    </row>
    <row r="244" spans="1:15" x14ac:dyDescent="0.4">
      <c r="A244">
        <v>21.5</v>
      </c>
      <c r="B244">
        <v>4</v>
      </c>
      <c r="C244">
        <v>121</v>
      </c>
      <c r="D244" t="s">
        <v>342</v>
      </c>
      <c r="E244">
        <v>2600</v>
      </c>
      <c r="F244">
        <v>12.8</v>
      </c>
      <c r="G244">
        <v>77</v>
      </c>
      <c r="H244">
        <v>2</v>
      </c>
      <c r="I244" t="s">
        <v>179</v>
      </c>
      <c r="J244">
        <f t="shared" si="10"/>
        <v>-0.85632057097941794</v>
      </c>
      <c r="K244">
        <f t="shared" si="11"/>
        <v>-0.69547473912677571</v>
      </c>
      <c r="L244" t="e">
        <f t="shared" si="11"/>
        <v>#DIV/0!</v>
      </c>
      <c r="M244">
        <f t="shared" si="11"/>
        <v>-0.4379694894056268</v>
      </c>
      <c r="N244">
        <f t="shared" si="11"/>
        <v>-1.0050352270325453</v>
      </c>
      <c r="O244">
        <f t="shared" si="12"/>
        <v>0.26806269193577476</v>
      </c>
    </row>
    <row r="245" spans="1:15" x14ac:dyDescent="0.4">
      <c r="A245">
        <v>21.5</v>
      </c>
      <c r="B245">
        <v>3</v>
      </c>
      <c r="C245">
        <v>80</v>
      </c>
      <c r="D245" t="s">
        <v>342</v>
      </c>
      <c r="E245">
        <v>2720</v>
      </c>
      <c r="F245">
        <v>13.5</v>
      </c>
      <c r="G245">
        <v>77</v>
      </c>
      <c r="H245">
        <v>3</v>
      </c>
      <c r="I245" t="s">
        <v>180</v>
      </c>
      <c r="J245">
        <f t="shared" si="10"/>
        <v>-1.4449485282329728</v>
      </c>
      <c r="K245">
        <f t="shared" si="11"/>
        <v>-1.0891802010639746</v>
      </c>
      <c r="L245" t="e">
        <f t="shared" si="11"/>
        <v>#DIV/0!</v>
      </c>
      <c r="M245">
        <f t="shared" si="11"/>
        <v>-0.29608815795786059</v>
      </c>
      <c r="N245">
        <f t="shared" si="11"/>
        <v>-0.75087999942859829</v>
      </c>
      <c r="O245">
        <f t="shared" si="12"/>
        <v>0.26806269193577476</v>
      </c>
    </row>
    <row r="246" spans="1:15" x14ac:dyDescent="0.4">
      <c r="A246">
        <v>43.1</v>
      </c>
      <c r="B246">
        <v>4</v>
      </c>
      <c r="C246">
        <v>90</v>
      </c>
      <c r="D246" t="s">
        <v>391</v>
      </c>
      <c r="E246">
        <v>1985</v>
      </c>
      <c r="F246">
        <v>21.5</v>
      </c>
      <c r="G246">
        <v>78</v>
      </c>
      <c r="H246">
        <v>2</v>
      </c>
      <c r="I246" t="s">
        <v>181</v>
      </c>
      <c r="J246">
        <f t="shared" si="10"/>
        <v>-0.85632057097941794</v>
      </c>
      <c r="K246">
        <f t="shared" si="11"/>
        <v>-0.99315447864026762</v>
      </c>
      <c r="L246" t="e">
        <f t="shared" si="11"/>
        <v>#DIV/0!</v>
      </c>
      <c r="M246">
        <f t="shared" si="11"/>
        <v>-1.1651113130754287</v>
      </c>
      <c r="N246">
        <f t="shared" si="11"/>
        <v>2.1537511731879424</v>
      </c>
      <c r="O246">
        <f t="shared" si="12"/>
        <v>0.53884683252064558</v>
      </c>
    </row>
    <row r="247" spans="1:15" x14ac:dyDescent="0.4">
      <c r="A247">
        <v>36.1</v>
      </c>
      <c r="B247">
        <v>4</v>
      </c>
      <c r="C247">
        <v>98</v>
      </c>
      <c r="D247" t="s">
        <v>392</v>
      </c>
      <c r="E247">
        <v>1800</v>
      </c>
      <c r="F247">
        <v>14.4</v>
      </c>
      <c r="G247">
        <v>78</v>
      </c>
      <c r="H247">
        <v>1</v>
      </c>
      <c r="I247" t="s">
        <v>182</v>
      </c>
      <c r="J247">
        <f t="shared" si="10"/>
        <v>-0.85632057097941794</v>
      </c>
      <c r="K247">
        <f t="shared" si="11"/>
        <v>-0.91633390070130194</v>
      </c>
      <c r="L247" t="e">
        <f t="shared" si="11"/>
        <v>#DIV/0!</v>
      </c>
      <c r="M247">
        <f t="shared" si="11"/>
        <v>-1.383845032390735</v>
      </c>
      <c r="N247">
        <f t="shared" si="11"/>
        <v>-0.42410899250923734</v>
      </c>
      <c r="O247">
        <f t="shared" si="12"/>
        <v>0.53884683252064558</v>
      </c>
    </row>
    <row r="248" spans="1:15" x14ac:dyDescent="0.4">
      <c r="A248">
        <v>32.799999999999997</v>
      </c>
      <c r="B248">
        <v>4</v>
      </c>
      <c r="C248">
        <v>78</v>
      </c>
      <c r="D248" t="s">
        <v>370</v>
      </c>
      <c r="E248">
        <v>1985</v>
      </c>
      <c r="F248">
        <v>19.399999999999999</v>
      </c>
      <c r="G248">
        <v>78</v>
      </c>
      <c r="H248">
        <v>3</v>
      </c>
      <c r="I248" t="s">
        <v>183</v>
      </c>
      <c r="J248">
        <f t="shared" si="10"/>
        <v>-0.85632057097941794</v>
      </c>
      <c r="K248">
        <f t="shared" si="11"/>
        <v>-1.108385345548716</v>
      </c>
      <c r="L248" t="e">
        <f t="shared" si="11"/>
        <v>#DIV/0!</v>
      </c>
      <c r="M248">
        <f t="shared" si="11"/>
        <v>-1.1651113130754287</v>
      </c>
      <c r="N248">
        <f t="shared" si="11"/>
        <v>1.3912854903760998</v>
      </c>
      <c r="O248">
        <f t="shared" si="12"/>
        <v>0.53884683252064558</v>
      </c>
    </row>
    <row r="249" spans="1:15" x14ac:dyDescent="0.4">
      <c r="A249">
        <v>39.4</v>
      </c>
      <c r="B249">
        <v>4</v>
      </c>
      <c r="C249">
        <v>85</v>
      </c>
      <c r="D249" t="s">
        <v>345</v>
      </c>
      <c r="E249">
        <v>2070</v>
      </c>
      <c r="F249">
        <v>18.600000000000001</v>
      </c>
      <c r="G249">
        <v>78</v>
      </c>
      <c r="H249">
        <v>3</v>
      </c>
      <c r="I249" t="s">
        <v>184</v>
      </c>
      <c r="J249">
        <f t="shared" si="10"/>
        <v>-0.85632057097941794</v>
      </c>
      <c r="K249">
        <f t="shared" si="11"/>
        <v>-1.0411673398521211</v>
      </c>
      <c r="L249" t="e">
        <f t="shared" si="11"/>
        <v>#DIV/0!</v>
      </c>
      <c r="M249">
        <f t="shared" si="11"/>
        <v>-1.064612036633261</v>
      </c>
      <c r="N249">
        <f t="shared" si="11"/>
        <v>1.1008223731144469</v>
      </c>
      <c r="O249">
        <f t="shared" si="12"/>
        <v>0.53884683252064558</v>
      </c>
    </row>
    <row r="250" spans="1:15" x14ac:dyDescent="0.4">
      <c r="A250">
        <v>36.1</v>
      </c>
      <c r="B250">
        <v>4</v>
      </c>
      <c r="C250">
        <v>91</v>
      </c>
      <c r="D250" t="s">
        <v>349</v>
      </c>
      <c r="E250">
        <v>1800</v>
      </c>
      <c r="F250">
        <v>16.399999999999999</v>
      </c>
      <c r="G250">
        <v>78</v>
      </c>
      <c r="H250">
        <v>3</v>
      </c>
      <c r="I250" t="s">
        <v>136</v>
      </c>
      <c r="J250">
        <f t="shared" si="10"/>
        <v>-0.85632057097941794</v>
      </c>
      <c r="K250">
        <f t="shared" si="11"/>
        <v>-0.98355190639789691</v>
      </c>
      <c r="L250" t="e">
        <f t="shared" si="11"/>
        <v>#DIV/0!</v>
      </c>
      <c r="M250">
        <f t="shared" si="11"/>
        <v>-1.383845032390735</v>
      </c>
      <c r="N250">
        <f t="shared" si="11"/>
        <v>0.30204880064489714</v>
      </c>
      <c r="O250">
        <f t="shared" si="12"/>
        <v>0.53884683252064558</v>
      </c>
    </row>
    <row r="251" spans="1:15" x14ac:dyDescent="0.4">
      <c r="A251">
        <v>19.899999999999999</v>
      </c>
      <c r="B251">
        <v>8</v>
      </c>
      <c r="C251">
        <v>260</v>
      </c>
      <c r="D251" t="s">
        <v>342</v>
      </c>
      <c r="E251">
        <v>3365</v>
      </c>
      <c r="F251">
        <v>15.5</v>
      </c>
      <c r="G251">
        <v>78</v>
      </c>
      <c r="H251">
        <v>1</v>
      </c>
      <c r="I251" t="s">
        <v>185</v>
      </c>
      <c r="J251">
        <f t="shared" si="10"/>
        <v>1.498191258034802</v>
      </c>
      <c r="K251">
        <f t="shared" si="11"/>
        <v>0.63928280256275216</v>
      </c>
      <c r="L251" t="e">
        <f t="shared" si="11"/>
        <v>#DIV/0!</v>
      </c>
      <c r="M251">
        <f t="shared" si="11"/>
        <v>0.46652399857388299</v>
      </c>
      <c r="N251">
        <f t="shared" si="11"/>
        <v>-2.4722206274463136E-2</v>
      </c>
      <c r="O251">
        <f t="shared" si="12"/>
        <v>0.53884683252064558</v>
      </c>
    </row>
    <row r="252" spans="1:15" x14ac:dyDescent="0.4">
      <c r="A252">
        <v>19.399999999999999</v>
      </c>
      <c r="B252">
        <v>8</v>
      </c>
      <c r="C252">
        <v>318</v>
      </c>
      <c r="D252" t="s">
        <v>317</v>
      </c>
      <c r="E252">
        <v>3735</v>
      </c>
      <c r="F252">
        <v>13.2</v>
      </c>
      <c r="G252">
        <v>78</v>
      </c>
      <c r="H252">
        <v>1</v>
      </c>
      <c r="I252" t="s">
        <v>186</v>
      </c>
      <c r="J252">
        <f t="shared" si="10"/>
        <v>1.498191258034802</v>
      </c>
      <c r="K252">
        <f t="shared" si="11"/>
        <v>1.1962319926202531</v>
      </c>
      <c r="L252" t="e">
        <f t="shared" si="11"/>
        <v>#DIV/0!</v>
      </c>
      <c r="M252">
        <f t="shared" si="11"/>
        <v>0.9039914372044956</v>
      </c>
      <c r="N252">
        <f t="shared" si="11"/>
        <v>-0.85980366840171885</v>
      </c>
      <c r="O252">
        <f t="shared" si="12"/>
        <v>0.53884683252064558</v>
      </c>
    </row>
    <row r="253" spans="1:15" x14ac:dyDescent="0.4">
      <c r="A253">
        <v>20.2</v>
      </c>
      <c r="B253">
        <v>8</v>
      </c>
      <c r="C253">
        <v>302</v>
      </c>
      <c r="D253" t="s">
        <v>393</v>
      </c>
      <c r="E253">
        <v>3570</v>
      </c>
      <c r="F253">
        <v>12.8</v>
      </c>
      <c r="G253">
        <v>78</v>
      </c>
      <c r="H253">
        <v>1</v>
      </c>
      <c r="I253" t="s">
        <v>187</v>
      </c>
      <c r="J253">
        <f t="shared" si="10"/>
        <v>1.498191258034802</v>
      </c>
      <c r="K253">
        <f t="shared" si="11"/>
        <v>1.0425908367423218</v>
      </c>
      <c r="L253" t="e">
        <f t="shared" si="11"/>
        <v>#DIV/0!</v>
      </c>
      <c r="M253">
        <f t="shared" si="11"/>
        <v>0.70890460646381692</v>
      </c>
      <c r="N253">
        <f t="shared" si="11"/>
        <v>-1.0050352270325453</v>
      </c>
      <c r="O253">
        <f t="shared" si="12"/>
        <v>0.53884683252064558</v>
      </c>
    </row>
    <row r="254" spans="1:15" x14ac:dyDescent="0.4">
      <c r="A254">
        <v>19.2</v>
      </c>
      <c r="B254">
        <v>6</v>
      </c>
      <c r="C254">
        <v>231</v>
      </c>
      <c r="D254" t="s">
        <v>338</v>
      </c>
      <c r="E254">
        <v>3535</v>
      </c>
      <c r="F254">
        <v>19.2</v>
      </c>
      <c r="G254">
        <v>78</v>
      </c>
      <c r="H254">
        <v>1</v>
      </c>
      <c r="I254" t="s">
        <v>188</v>
      </c>
      <c r="J254">
        <f t="shared" si="10"/>
        <v>0.3209353435276921</v>
      </c>
      <c r="K254">
        <f t="shared" si="11"/>
        <v>0.36080820753400178</v>
      </c>
      <c r="L254" t="e">
        <f t="shared" si="11"/>
        <v>#DIV/0!</v>
      </c>
      <c r="M254">
        <f t="shared" si="11"/>
        <v>0.66752255145821848</v>
      </c>
      <c r="N254">
        <f t="shared" si="11"/>
        <v>1.3186697110606866</v>
      </c>
      <c r="O254">
        <f t="shared" si="12"/>
        <v>0.53884683252064558</v>
      </c>
    </row>
    <row r="255" spans="1:15" x14ac:dyDescent="0.4">
      <c r="A255">
        <v>20.5</v>
      </c>
      <c r="B255">
        <v>6</v>
      </c>
      <c r="C255">
        <v>200</v>
      </c>
      <c r="D255" t="s">
        <v>325</v>
      </c>
      <c r="E255">
        <v>3155</v>
      </c>
      <c r="F255">
        <v>18.2</v>
      </c>
      <c r="G255">
        <v>78</v>
      </c>
      <c r="H255">
        <v>1</v>
      </c>
      <c r="I255" t="s">
        <v>76</v>
      </c>
      <c r="J255">
        <f t="shared" si="10"/>
        <v>0.3209353435276921</v>
      </c>
      <c r="K255">
        <f t="shared" si="11"/>
        <v>6.312846802050992E-2</v>
      </c>
      <c r="L255" t="e">
        <f t="shared" si="11"/>
        <v>#DIV/0!</v>
      </c>
      <c r="M255">
        <f t="shared" si="11"/>
        <v>0.21823166854029205</v>
      </c>
      <c r="N255">
        <f t="shared" si="11"/>
        <v>0.95559081448361904</v>
      </c>
      <c r="O255">
        <f t="shared" si="12"/>
        <v>0.53884683252064558</v>
      </c>
    </row>
    <row r="256" spans="1:15" x14ac:dyDescent="0.4">
      <c r="A256">
        <v>20.2</v>
      </c>
      <c r="B256">
        <v>6</v>
      </c>
      <c r="C256">
        <v>200</v>
      </c>
      <c r="D256" t="s">
        <v>327</v>
      </c>
      <c r="E256">
        <v>2965</v>
      </c>
      <c r="F256">
        <v>15.8</v>
      </c>
      <c r="G256">
        <v>78</v>
      </c>
      <c r="H256">
        <v>1</v>
      </c>
      <c r="I256" t="s">
        <v>189</v>
      </c>
      <c r="J256">
        <f t="shared" si="10"/>
        <v>0.3209353435276921</v>
      </c>
      <c r="K256">
        <f t="shared" si="11"/>
        <v>6.312846802050992E-2</v>
      </c>
      <c r="L256" t="e">
        <f t="shared" si="11"/>
        <v>#DIV/0!</v>
      </c>
      <c r="M256">
        <f t="shared" si="11"/>
        <v>-6.4137729186711564E-3</v>
      </c>
      <c r="N256">
        <f t="shared" si="11"/>
        <v>8.4201462698657387E-2</v>
      </c>
      <c r="O256">
        <f t="shared" si="12"/>
        <v>0.53884683252064558</v>
      </c>
    </row>
    <row r="257" spans="1:15" x14ac:dyDescent="0.4">
      <c r="A257">
        <v>25.1</v>
      </c>
      <c r="B257">
        <v>4</v>
      </c>
      <c r="C257">
        <v>140</v>
      </c>
      <c r="D257" t="s">
        <v>328</v>
      </c>
      <c r="E257">
        <v>2720</v>
      </c>
      <c r="F257">
        <v>15.4</v>
      </c>
      <c r="G257">
        <v>78</v>
      </c>
      <c r="H257">
        <v>1</v>
      </c>
      <c r="I257" t="s">
        <v>190</v>
      </c>
      <c r="J257">
        <f t="shared" si="10"/>
        <v>-0.85632057097941794</v>
      </c>
      <c r="K257">
        <f t="shared" si="11"/>
        <v>-0.51302586652173232</v>
      </c>
      <c r="L257" t="e">
        <f t="shared" si="11"/>
        <v>#DIV/0!</v>
      </c>
      <c r="M257">
        <f t="shared" si="11"/>
        <v>-0.29608815795786059</v>
      </c>
      <c r="N257">
        <f t="shared" si="11"/>
        <v>-6.1030095932169764E-2</v>
      </c>
      <c r="O257">
        <f t="shared" si="12"/>
        <v>0.53884683252064558</v>
      </c>
    </row>
    <row r="258" spans="1:15" x14ac:dyDescent="0.4">
      <c r="A258">
        <v>20.5</v>
      </c>
      <c r="B258">
        <v>6</v>
      </c>
      <c r="C258">
        <v>225</v>
      </c>
      <c r="D258" t="s">
        <v>337</v>
      </c>
      <c r="E258">
        <v>3430</v>
      </c>
      <c r="F258">
        <v>17.2</v>
      </c>
      <c r="G258">
        <v>78</v>
      </c>
      <c r="H258">
        <v>1</v>
      </c>
      <c r="I258" t="s">
        <v>191</v>
      </c>
      <c r="J258">
        <f t="shared" si="10"/>
        <v>0.3209353435276921</v>
      </c>
      <c r="K258">
        <f t="shared" si="11"/>
        <v>0.30319277407977752</v>
      </c>
      <c r="L258" t="e">
        <f t="shared" si="11"/>
        <v>#DIV/0!</v>
      </c>
      <c r="M258">
        <f t="shared" si="11"/>
        <v>0.54337638644142305</v>
      </c>
      <c r="N258">
        <f t="shared" ref="N258:O321" si="13">(F258-T$2)/T$3</f>
        <v>0.59251191790655144</v>
      </c>
      <c r="O258">
        <f t="shared" si="12"/>
        <v>0.53884683252064558</v>
      </c>
    </row>
    <row r="259" spans="1:15" x14ac:dyDescent="0.4">
      <c r="A259">
        <v>19.399999999999999</v>
      </c>
      <c r="B259">
        <v>6</v>
      </c>
      <c r="C259">
        <v>232</v>
      </c>
      <c r="D259" t="s">
        <v>331</v>
      </c>
      <c r="E259">
        <v>3210</v>
      </c>
      <c r="F259">
        <v>17.2</v>
      </c>
      <c r="G259">
        <v>78</v>
      </c>
      <c r="H259">
        <v>1</v>
      </c>
      <c r="I259" t="s">
        <v>192</v>
      </c>
      <c r="J259">
        <f t="shared" ref="J259:J322" si="14">(B259-P$2)/P$3</f>
        <v>0.3209353435276921</v>
      </c>
      <c r="K259">
        <f t="shared" ref="K259:O322" si="15">(C259-Q$2)/Q$3</f>
        <v>0.37041077977637243</v>
      </c>
      <c r="L259" t="e">
        <f t="shared" si="15"/>
        <v>#DIV/0!</v>
      </c>
      <c r="M259">
        <f t="shared" si="15"/>
        <v>0.28326061212051823</v>
      </c>
      <c r="N259">
        <f t="shared" si="13"/>
        <v>0.59251191790655144</v>
      </c>
      <c r="O259">
        <f t="shared" si="13"/>
        <v>0.53884683252064558</v>
      </c>
    </row>
    <row r="260" spans="1:15" x14ac:dyDescent="0.4">
      <c r="A260">
        <v>20.6</v>
      </c>
      <c r="B260">
        <v>6</v>
      </c>
      <c r="C260">
        <v>231</v>
      </c>
      <c r="D260" t="s">
        <v>338</v>
      </c>
      <c r="E260">
        <v>3380</v>
      </c>
      <c r="F260">
        <v>15.8</v>
      </c>
      <c r="G260">
        <v>78</v>
      </c>
      <c r="H260">
        <v>1</v>
      </c>
      <c r="I260" t="s">
        <v>193</v>
      </c>
      <c r="J260">
        <f t="shared" si="14"/>
        <v>0.3209353435276921</v>
      </c>
      <c r="K260">
        <f t="shared" si="15"/>
        <v>0.36080820753400178</v>
      </c>
      <c r="L260" t="e">
        <f t="shared" si="15"/>
        <v>#DIV/0!</v>
      </c>
      <c r="M260">
        <f t="shared" si="15"/>
        <v>0.48425916500485378</v>
      </c>
      <c r="N260">
        <f t="shared" si="13"/>
        <v>8.4201462698657387E-2</v>
      </c>
      <c r="O260">
        <f t="shared" si="13"/>
        <v>0.53884683252064558</v>
      </c>
    </row>
    <row r="261" spans="1:15" x14ac:dyDescent="0.4">
      <c r="A261">
        <v>20.8</v>
      </c>
      <c r="B261">
        <v>6</v>
      </c>
      <c r="C261">
        <v>200</v>
      </c>
      <c r="D261" t="s">
        <v>327</v>
      </c>
      <c r="E261">
        <v>3070</v>
      </c>
      <c r="F261">
        <v>16.7</v>
      </c>
      <c r="G261">
        <v>78</v>
      </c>
      <c r="H261">
        <v>1</v>
      </c>
      <c r="I261" t="s">
        <v>194</v>
      </c>
      <c r="J261">
        <f t="shared" si="14"/>
        <v>0.3209353435276921</v>
      </c>
      <c r="K261">
        <f t="shared" si="15"/>
        <v>6.312846802050992E-2</v>
      </c>
      <c r="L261" t="e">
        <f t="shared" si="15"/>
        <v>#DIV/0!</v>
      </c>
      <c r="M261">
        <f t="shared" si="15"/>
        <v>0.11773239209812431</v>
      </c>
      <c r="N261">
        <f t="shared" si="13"/>
        <v>0.4109724696180177</v>
      </c>
      <c r="O261">
        <f t="shared" si="13"/>
        <v>0.53884683252064558</v>
      </c>
    </row>
    <row r="262" spans="1:15" x14ac:dyDescent="0.4">
      <c r="A262">
        <v>18.600000000000001</v>
      </c>
      <c r="B262">
        <v>6</v>
      </c>
      <c r="C262">
        <v>225</v>
      </c>
      <c r="D262" t="s">
        <v>342</v>
      </c>
      <c r="E262">
        <v>3620</v>
      </c>
      <c r="F262">
        <v>18.7</v>
      </c>
      <c r="G262">
        <v>78</v>
      </c>
      <c r="H262">
        <v>1</v>
      </c>
      <c r="I262" t="s">
        <v>195</v>
      </c>
      <c r="J262">
        <f t="shared" si="14"/>
        <v>0.3209353435276921</v>
      </c>
      <c r="K262">
        <f t="shared" si="15"/>
        <v>0.30319277407977752</v>
      </c>
      <c r="L262" t="e">
        <f t="shared" si="15"/>
        <v>#DIV/0!</v>
      </c>
      <c r="M262">
        <f t="shared" si="15"/>
        <v>0.7680218279003862</v>
      </c>
      <c r="N262">
        <f t="shared" si="13"/>
        <v>1.1371302627721529</v>
      </c>
      <c r="O262">
        <f t="shared" si="13"/>
        <v>0.53884683252064558</v>
      </c>
    </row>
    <row r="263" spans="1:15" x14ac:dyDescent="0.4">
      <c r="A263">
        <v>18.100000000000001</v>
      </c>
      <c r="B263">
        <v>6</v>
      </c>
      <c r="C263">
        <v>258</v>
      </c>
      <c r="D263" t="s">
        <v>382</v>
      </c>
      <c r="E263">
        <v>3410</v>
      </c>
      <c r="F263">
        <v>15.1</v>
      </c>
      <c r="G263">
        <v>78</v>
      </c>
      <c r="H263">
        <v>1</v>
      </c>
      <c r="I263" t="s">
        <v>196</v>
      </c>
      <c r="J263">
        <f t="shared" si="14"/>
        <v>0.3209353435276921</v>
      </c>
      <c r="K263">
        <f t="shared" si="15"/>
        <v>0.62007765807801074</v>
      </c>
      <c r="L263" t="e">
        <f t="shared" si="15"/>
        <v>#DIV/0!</v>
      </c>
      <c r="M263">
        <f t="shared" si="15"/>
        <v>0.51972949786679534</v>
      </c>
      <c r="N263">
        <f t="shared" si="13"/>
        <v>-0.16995376490529029</v>
      </c>
      <c r="O263">
        <f t="shared" si="13"/>
        <v>0.53884683252064558</v>
      </c>
    </row>
    <row r="264" spans="1:15" x14ac:dyDescent="0.4">
      <c r="A264">
        <v>19.2</v>
      </c>
      <c r="B264">
        <v>8</v>
      </c>
      <c r="C264">
        <v>305</v>
      </c>
      <c r="D264" t="s">
        <v>356</v>
      </c>
      <c r="E264">
        <v>3425</v>
      </c>
      <c r="F264">
        <v>13.2</v>
      </c>
      <c r="G264">
        <v>78</v>
      </c>
      <c r="H264">
        <v>1</v>
      </c>
      <c r="I264" t="s">
        <v>169</v>
      </c>
      <c r="J264">
        <f t="shared" si="14"/>
        <v>1.498191258034802</v>
      </c>
      <c r="K264">
        <f t="shared" si="15"/>
        <v>1.0713985534694339</v>
      </c>
      <c r="L264" t="e">
        <f t="shared" si="15"/>
        <v>#DIV/0!</v>
      </c>
      <c r="M264">
        <f t="shared" si="15"/>
        <v>0.53746466429776607</v>
      </c>
      <c r="N264">
        <f t="shared" si="13"/>
        <v>-0.85980366840171885</v>
      </c>
      <c r="O264">
        <f t="shared" si="13"/>
        <v>0.53884683252064558</v>
      </c>
    </row>
    <row r="265" spans="1:15" x14ac:dyDescent="0.4">
      <c r="A265">
        <v>17.7</v>
      </c>
      <c r="B265">
        <v>6</v>
      </c>
      <c r="C265">
        <v>231</v>
      </c>
      <c r="D265" t="s">
        <v>315</v>
      </c>
      <c r="E265">
        <v>3445</v>
      </c>
      <c r="F265">
        <v>13.4</v>
      </c>
      <c r="G265">
        <v>78</v>
      </c>
      <c r="H265">
        <v>1</v>
      </c>
      <c r="I265" t="s">
        <v>197</v>
      </c>
      <c r="J265">
        <f t="shared" si="14"/>
        <v>0.3209353435276921</v>
      </c>
      <c r="K265">
        <f t="shared" si="15"/>
        <v>0.36080820753400178</v>
      </c>
      <c r="L265" t="e">
        <f t="shared" si="15"/>
        <v>#DIV/0!</v>
      </c>
      <c r="M265">
        <f t="shared" si="15"/>
        <v>0.56111155287239378</v>
      </c>
      <c r="N265">
        <f t="shared" si="13"/>
        <v>-0.78718788908630488</v>
      </c>
      <c r="O265">
        <f t="shared" si="13"/>
        <v>0.53884683252064558</v>
      </c>
    </row>
    <row r="266" spans="1:15" x14ac:dyDescent="0.4">
      <c r="A266">
        <v>18.100000000000001</v>
      </c>
      <c r="B266">
        <v>8</v>
      </c>
      <c r="C266">
        <v>302</v>
      </c>
      <c r="D266" t="s">
        <v>393</v>
      </c>
      <c r="E266">
        <v>3205</v>
      </c>
      <c r="F266">
        <v>11.2</v>
      </c>
      <c r="G266">
        <v>78</v>
      </c>
      <c r="H266">
        <v>1</v>
      </c>
      <c r="I266" t="s">
        <v>198</v>
      </c>
      <c r="J266">
        <f t="shared" si="14"/>
        <v>1.498191258034802</v>
      </c>
      <c r="K266">
        <f t="shared" si="15"/>
        <v>1.0425908367423218</v>
      </c>
      <c r="L266" t="e">
        <f t="shared" si="15"/>
        <v>#DIV/0!</v>
      </c>
      <c r="M266">
        <f t="shared" si="15"/>
        <v>0.2773488899768613</v>
      </c>
      <c r="N266">
        <f t="shared" si="13"/>
        <v>-1.5859614615558539</v>
      </c>
      <c r="O266">
        <f t="shared" si="13"/>
        <v>0.53884683252064558</v>
      </c>
    </row>
    <row r="267" spans="1:15" x14ac:dyDescent="0.4">
      <c r="A267">
        <v>17.5</v>
      </c>
      <c r="B267">
        <v>8</v>
      </c>
      <c r="C267">
        <v>318</v>
      </c>
      <c r="D267" t="s">
        <v>317</v>
      </c>
      <c r="E267">
        <v>4080</v>
      </c>
      <c r="F267">
        <v>13.7</v>
      </c>
      <c r="G267">
        <v>78</v>
      </c>
      <c r="H267">
        <v>1</v>
      </c>
      <c r="I267" t="s">
        <v>199</v>
      </c>
      <c r="J267">
        <f t="shared" si="14"/>
        <v>1.498191258034802</v>
      </c>
      <c r="K267">
        <f t="shared" si="15"/>
        <v>1.1962319926202531</v>
      </c>
      <c r="L267" t="e">
        <f t="shared" si="15"/>
        <v>#DIV/0!</v>
      </c>
      <c r="M267">
        <f t="shared" si="15"/>
        <v>1.3119002651168234</v>
      </c>
      <c r="N267">
        <f t="shared" si="13"/>
        <v>-0.67826422011318499</v>
      </c>
      <c r="O267">
        <f t="shared" si="13"/>
        <v>0.53884683252064558</v>
      </c>
    </row>
    <row r="268" spans="1:15" x14ac:dyDescent="0.4">
      <c r="A268">
        <v>30</v>
      </c>
      <c r="B268">
        <v>4</v>
      </c>
      <c r="C268">
        <v>98</v>
      </c>
      <c r="D268" t="s">
        <v>386</v>
      </c>
      <c r="E268">
        <v>2155</v>
      </c>
      <c r="F268">
        <v>16.5</v>
      </c>
      <c r="G268">
        <v>78</v>
      </c>
      <c r="H268">
        <v>1</v>
      </c>
      <c r="I268" t="s">
        <v>141</v>
      </c>
      <c r="J268">
        <f t="shared" si="14"/>
        <v>-0.85632057097941794</v>
      </c>
      <c r="K268">
        <f t="shared" si="15"/>
        <v>-0.91633390070130194</v>
      </c>
      <c r="L268" t="e">
        <f t="shared" si="15"/>
        <v>#DIV/0!</v>
      </c>
      <c r="M268">
        <f t="shared" si="15"/>
        <v>-0.96411276019109327</v>
      </c>
      <c r="N268">
        <f t="shared" si="13"/>
        <v>0.3383566903026044</v>
      </c>
      <c r="O268">
        <f t="shared" si="13"/>
        <v>0.53884683252064558</v>
      </c>
    </row>
    <row r="269" spans="1:15" x14ac:dyDescent="0.4">
      <c r="A269">
        <v>27.5</v>
      </c>
      <c r="B269">
        <v>4</v>
      </c>
      <c r="C269">
        <v>134</v>
      </c>
      <c r="D269" t="s">
        <v>325</v>
      </c>
      <c r="E269">
        <v>2560</v>
      </c>
      <c r="F269">
        <v>14.2</v>
      </c>
      <c r="G269">
        <v>78</v>
      </c>
      <c r="H269">
        <v>3</v>
      </c>
      <c r="I269" t="s">
        <v>30</v>
      </c>
      <c r="J269">
        <f t="shared" si="14"/>
        <v>-0.85632057097941794</v>
      </c>
      <c r="K269">
        <f t="shared" si="15"/>
        <v>-0.57064129997595658</v>
      </c>
      <c r="L269" t="e">
        <f t="shared" si="15"/>
        <v>#DIV/0!</v>
      </c>
      <c r="M269">
        <f t="shared" si="15"/>
        <v>-0.48526326655488222</v>
      </c>
      <c r="N269">
        <f t="shared" si="13"/>
        <v>-0.49672477182465125</v>
      </c>
      <c r="O269">
        <f t="shared" si="13"/>
        <v>0.53884683252064558</v>
      </c>
    </row>
    <row r="270" spans="1:15" x14ac:dyDescent="0.4">
      <c r="A270">
        <v>27.2</v>
      </c>
      <c r="B270">
        <v>4</v>
      </c>
      <c r="C270">
        <v>119</v>
      </c>
      <c r="D270" t="s">
        <v>326</v>
      </c>
      <c r="E270">
        <v>2300</v>
      </c>
      <c r="F270">
        <v>14.7</v>
      </c>
      <c r="G270">
        <v>78</v>
      </c>
      <c r="H270">
        <v>3</v>
      </c>
      <c r="I270" t="s">
        <v>200</v>
      </c>
      <c r="J270">
        <f t="shared" si="14"/>
        <v>-0.85632057097941794</v>
      </c>
      <c r="K270">
        <f t="shared" si="15"/>
        <v>-0.71467988361151713</v>
      </c>
      <c r="L270" t="e">
        <f t="shared" si="15"/>
        <v>#DIV/0!</v>
      </c>
      <c r="M270">
        <f t="shared" si="15"/>
        <v>-0.79267281802504241</v>
      </c>
      <c r="N270">
        <f t="shared" si="13"/>
        <v>-0.31518532353611745</v>
      </c>
      <c r="O270">
        <f t="shared" si="13"/>
        <v>0.53884683252064558</v>
      </c>
    </row>
    <row r="271" spans="1:15" x14ac:dyDescent="0.4">
      <c r="A271">
        <v>30.9</v>
      </c>
      <c r="B271">
        <v>4</v>
      </c>
      <c r="C271">
        <v>105</v>
      </c>
      <c r="D271" t="s">
        <v>364</v>
      </c>
      <c r="E271">
        <v>2230</v>
      </c>
      <c r="F271">
        <v>14.5</v>
      </c>
      <c r="G271">
        <v>78</v>
      </c>
      <c r="H271">
        <v>1</v>
      </c>
      <c r="I271" t="s">
        <v>201</v>
      </c>
      <c r="J271">
        <f t="shared" si="14"/>
        <v>-0.85632057097941794</v>
      </c>
      <c r="K271">
        <f t="shared" si="15"/>
        <v>-0.84911589500470697</v>
      </c>
      <c r="L271" t="e">
        <f t="shared" si="15"/>
        <v>#DIV/0!</v>
      </c>
      <c r="M271">
        <f t="shared" si="15"/>
        <v>-0.8754369280362394</v>
      </c>
      <c r="N271">
        <f t="shared" si="13"/>
        <v>-0.38780110285153069</v>
      </c>
      <c r="O271">
        <f t="shared" si="13"/>
        <v>0.53884683252064558</v>
      </c>
    </row>
    <row r="272" spans="1:15" x14ac:dyDescent="0.4">
      <c r="A272">
        <v>21.1</v>
      </c>
      <c r="B272">
        <v>4</v>
      </c>
      <c r="C272">
        <v>134</v>
      </c>
      <c r="D272" t="s">
        <v>325</v>
      </c>
      <c r="E272">
        <v>2515</v>
      </c>
      <c r="F272">
        <v>14.8</v>
      </c>
      <c r="G272">
        <v>78</v>
      </c>
      <c r="H272">
        <v>3</v>
      </c>
      <c r="I272" t="s">
        <v>202</v>
      </c>
      <c r="J272">
        <f t="shared" si="14"/>
        <v>-0.85632057097941794</v>
      </c>
      <c r="K272">
        <f t="shared" si="15"/>
        <v>-0.57064129997595658</v>
      </c>
      <c r="L272" t="e">
        <f t="shared" si="15"/>
        <v>#DIV/0!</v>
      </c>
      <c r="M272">
        <f t="shared" si="15"/>
        <v>-0.53846876584779457</v>
      </c>
      <c r="N272">
        <f t="shared" si="13"/>
        <v>-0.27887743387841019</v>
      </c>
      <c r="O272">
        <f t="shared" si="13"/>
        <v>0.53884683252064558</v>
      </c>
    </row>
    <row r="273" spans="1:15" x14ac:dyDescent="0.4">
      <c r="A273">
        <v>23.2</v>
      </c>
      <c r="B273">
        <v>4</v>
      </c>
      <c r="C273">
        <v>156</v>
      </c>
      <c r="D273" t="s">
        <v>338</v>
      </c>
      <c r="E273">
        <v>2745</v>
      </c>
      <c r="F273">
        <v>16.7</v>
      </c>
      <c r="G273">
        <v>78</v>
      </c>
      <c r="H273">
        <v>1</v>
      </c>
      <c r="I273" t="s">
        <v>203</v>
      </c>
      <c r="J273">
        <f t="shared" si="14"/>
        <v>-0.85632057097941794</v>
      </c>
      <c r="K273">
        <f t="shared" si="15"/>
        <v>-0.35938471064380106</v>
      </c>
      <c r="L273" t="e">
        <f t="shared" si="15"/>
        <v>#DIV/0!</v>
      </c>
      <c r="M273">
        <f t="shared" si="15"/>
        <v>-0.26652954723957595</v>
      </c>
      <c r="N273">
        <f t="shared" si="13"/>
        <v>0.4109724696180177</v>
      </c>
      <c r="O273">
        <f t="shared" si="13"/>
        <v>0.53884683252064558</v>
      </c>
    </row>
    <row r="274" spans="1:15" x14ac:dyDescent="0.4">
      <c r="A274">
        <v>23.8</v>
      </c>
      <c r="B274">
        <v>4</v>
      </c>
      <c r="C274">
        <v>151</v>
      </c>
      <c r="D274" t="s">
        <v>327</v>
      </c>
      <c r="E274">
        <v>2855</v>
      </c>
      <c r="F274">
        <v>17.600000000000001</v>
      </c>
      <c r="G274">
        <v>78</v>
      </c>
      <c r="H274">
        <v>1</v>
      </c>
      <c r="I274" t="s">
        <v>204</v>
      </c>
      <c r="J274">
        <f t="shared" si="14"/>
        <v>-0.85632057097941794</v>
      </c>
      <c r="K274">
        <f t="shared" si="15"/>
        <v>-0.40739757185565462</v>
      </c>
      <c r="L274" t="e">
        <f t="shared" si="15"/>
        <v>#DIV/0!</v>
      </c>
      <c r="M274">
        <f t="shared" si="15"/>
        <v>-0.13647166007912354</v>
      </c>
      <c r="N274">
        <f t="shared" si="13"/>
        <v>0.73774347653737926</v>
      </c>
      <c r="O274">
        <f t="shared" si="13"/>
        <v>0.53884683252064558</v>
      </c>
    </row>
    <row r="275" spans="1:15" x14ac:dyDescent="0.4">
      <c r="A275">
        <v>23.9</v>
      </c>
      <c r="B275">
        <v>4</v>
      </c>
      <c r="C275">
        <v>119</v>
      </c>
      <c r="D275" t="s">
        <v>326</v>
      </c>
      <c r="E275">
        <v>2405</v>
      </c>
      <c r="F275">
        <v>14.9</v>
      </c>
      <c r="G275">
        <v>78</v>
      </c>
      <c r="H275">
        <v>3</v>
      </c>
      <c r="I275" t="s">
        <v>205</v>
      </c>
      <c r="J275">
        <f t="shared" si="14"/>
        <v>-0.85632057097941794</v>
      </c>
      <c r="K275">
        <f t="shared" si="15"/>
        <v>-0.71467988361151713</v>
      </c>
      <c r="L275" t="e">
        <f t="shared" si="15"/>
        <v>#DIV/0!</v>
      </c>
      <c r="M275">
        <f t="shared" si="15"/>
        <v>-0.66852665300824698</v>
      </c>
      <c r="N275">
        <f t="shared" si="13"/>
        <v>-0.24256954422070354</v>
      </c>
      <c r="O275">
        <f t="shared" si="13"/>
        <v>0.53884683252064558</v>
      </c>
    </row>
    <row r="276" spans="1:15" x14ac:dyDescent="0.4">
      <c r="A276">
        <v>20.3</v>
      </c>
      <c r="B276">
        <v>5</v>
      </c>
      <c r="C276">
        <v>131</v>
      </c>
      <c r="D276" t="s">
        <v>394</v>
      </c>
      <c r="E276">
        <v>2830</v>
      </c>
      <c r="F276">
        <v>15.9</v>
      </c>
      <c r="G276">
        <v>78</v>
      </c>
      <c r="H276">
        <v>2</v>
      </c>
      <c r="I276" t="s">
        <v>206</v>
      </c>
      <c r="J276">
        <f t="shared" si="14"/>
        <v>-0.26769261372586289</v>
      </c>
      <c r="K276">
        <f t="shared" si="15"/>
        <v>-0.59944901670306872</v>
      </c>
      <c r="L276" t="e">
        <f t="shared" si="15"/>
        <v>#DIV/0!</v>
      </c>
      <c r="M276">
        <f t="shared" si="15"/>
        <v>-0.16603027079740817</v>
      </c>
      <c r="N276">
        <f t="shared" si="13"/>
        <v>0.12050935235636402</v>
      </c>
      <c r="O276">
        <f t="shared" si="13"/>
        <v>0.53884683252064558</v>
      </c>
    </row>
    <row r="277" spans="1:15" x14ac:dyDescent="0.4">
      <c r="A277">
        <v>17</v>
      </c>
      <c r="B277">
        <v>6</v>
      </c>
      <c r="C277">
        <v>163</v>
      </c>
      <c r="D277" t="s">
        <v>395</v>
      </c>
      <c r="E277">
        <v>3140</v>
      </c>
      <c r="F277">
        <v>13.6</v>
      </c>
      <c r="G277">
        <v>78</v>
      </c>
      <c r="H277">
        <v>2</v>
      </c>
      <c r="I277" t="s">
        <v>207</v>
      </c>
      <c r="J277">
        <f t="shared" si="14"/>
        <v>0.3209353435276921</v>
      </c>
      <c r="K277">
        <f t="shared" si="15"/>
        <v>-0.29216670494720615</v>
      </c>
      <c r="L277" t="e">
        <f t="shared" si="15"/>
        <v>#DIV/0!</v>
      </c>
      <c r="M277">
        <f t="shared" si="15"/>
        <v>0.20049650210932127</v>
      </c>
      <c r="N277">
        <f t="shared" si="13"/>
        <v>-0.71457210977089158</v>
      </c>
      <c r="O277">
        <f t="shared" si="13"/>
        <v>0.53884683252064558</v>
      </c>
    </row>
    <row r="278" spans="1:15" x14ac:dyDescent="0.4">
      <c r="A278">
        <v>21.6</v>
      </c>
      <c r="B278">
        <v>4</v>
      </c>
      <c r="C278">
        <v>121</v>
      </c>
      <c r="D278" t="s">
        <v>378</v>
      </c>
      <c r="E278">
        <v>2795</v>
      </c>
      <c r="F278">
        <v>15.7</v>
      </c>
      <c r="G278">
        <v>78</v>
      </c>
      <c r="H278">
        <v>2</v>
      </c>
      <c r="I278" t="s">
        <v>208</v>
      </c>
      <c r="J278">
        <f t="shared" si="14"/>
        <v>-0.85632057097941794</v>
      </c>
      <c r="K278">
        <f t="shared" si="15"/>
        <v>-0.69547473912677571</v>
      </c>
      <c r="L278" t="e">
        <f t="shared" si="15"/>
        <v>#DIV/0!</v>
      </c>
      <c r="M278">
        <f t="shared" si="15"/>
        <v>-0.20741232580300667</v>
      </c>
      <c r="N278">
        <f t="shared" si="13"/>
        <v>4.789357304095012E-2</v>
      </c>
      <c r="O278">
        <f t="shared" si="13"/>
        <v>0.53884683252064558</v>
      </c>
    </row>
    <row r="279" spans="1:15" x14ac:dyDescent="0.4">
      <c r="A279">
        <v>16.2</v>
      </c>
      <c r="B279">
        <v>6</v>
      </c>
      <c r="C279">
        <v>163</v>
      </c>
      <c r="D279" t="s">
        <v>396</v>
      </c>
      <c r="E279">
        <v>3410</v>
      </c>
      <c r="F279">
        <v>15.8</v>
      </c>
      <c r="G279">
        <v>78</v>
      </c>
      <c r="H279">
        <v>2</v>
      </c>
      <c r="I279" t="s">
        <v>209</v>
      </c>
      <c r="J279">
        <f t="shared" si="14"/>
        <v>0.3209353435276921</v>
      </c>
      <c r="K279">
        <f t="shared" si="15"/>
        <v>-0.29216670494720615</v>
      </c>
      <c r="L279" t="e">
        <f t="shared" si="15"/>
        <v>#DIV/0!</v>
      </c>
      <c r="M279">
        <f t="shared" si="15"/>
        <v>0.51972949786679534</v>
      </c>
      <c r="N279">
        <f t="shared" si="13"/>
        <v>8.4201462698657387E-2</v>
      </c>
      <c r="O279">
        <f t="shared" si="13"/>
        <v>0.53884683252064558</v>
      </c>
    </row>
    <row r="280" spans="1:15" x14ac:dyDescent="0.4">
      <c r="A280">
        <v>31.5</v>
      </c>
      <c r="B280">
        <v>4</v>
      </c>
      <c r="C280">
        <v>89</v>
      </c>
      <c r="D280" t="s">
        <v>376</v>
      </c>
      <c r="E280">
        <v>1990</v>
      </c>
      <c r="F280">
        <v>14.9</v>
      </c>
      <c r="G280">
        <v>78</v>
      </c>
      <c r="H280">
        <v>2</v>
      </c>
      <c r="I280" t="s">
        <v>210</v>
      </c>
      <c r="J280">
        <f t="shared" si="14"/>
        <v>-0.85632057097941794</v>
      </c>
      <c r="K280">
        <f t="shared" si="15"/>
        <v>-1.0027570508826382</v>
      </c>
      <c r="L280" t="e">
        <f t="shared" si="15"/>
        <v>#DIV/0!</v>
      </c>
      <c r="M280">
        <f t="shared" si="15"/>
        <v>-1.1591995909317718</v>
      </c>
      <c r="N280">
        <f t="shared" si="13"/>
        <v>-0.24256954422070354</v>
      </c>
      <c r="O280">
        <f t="shared" si="13"/>
        <v>0.53884683252064558</v>
      </c>
    </row>
    <row r="281" spans="1:15" x14ac:dyDescent="0.4">
      <c r="A281">
        <v>29.5</v>
      </c>
      <c r="B281">
        <v>4</v>
      </c>
      <c r="C281">
        <v>98</v>
      </c>
      <c r="D281" t="s">
        <v>386</v>
      </c>
      <c r="E281">
        <v>2135</v>
      </c>
      <c r="F281">
        <v>16.600000000000001</v>
      </c>
      <c r="G281">
        <v>78</v>
      </c>
      <c r="H281">
        <v>3</v>
      </c>
      <c r="I281" t="s">
        <v>211</v>
      </c>
      <c r="J281">
        <f t="shared" si="14"/>
        <v>-0.85632057097941794</v>
      </c>
      <c r="K281">
        <f t="shared" si="15"/>
        <v>-0.91633390070130194</v>
      </c>
      <c r="L281" t="e">
        <f t="shared" si="15"/>
        <v>#DIV/0!</v>
      </c>
      <c r="M281">
        <f t="shared" si="15"/>
        <v>-0.98775964876572098</v>
      </c>
      <c r="N281">
        <f t="shared" si="13"/>
        <v>0.37466457996031172</v>
      </c>
      <c r="O281">
        <f t="shared" si="13"/>
        <v>0.53884683252064558</v>
      </c>
    </row>
    <row r="282" spans="1:15" x14ac:dyDescent="0.4">
      <c r="A282">
        <v>21.5</v>
      </c>
      <c r="B282">
        <v>6</v>
      </c>
      <c r="C282">
        <v>231</v>
      </c>
      <c r="D282" t="s">
        <v>378</v>
      </c>
      <c r="E282">
        <v>3245</v>
      </c>
      <c r="F282">
        <v>15.4</v>
      </c>
      <c r="G282">
        <v>79</v>
      </c>
      <c r="H282">
        <v>1</v>
      </c>
      <c r="I282" t="s">
        <v>212</v>
      </c>
      <c r="J282">
        <f t="shared" si="14"/>
        <v>0.3209353435276921</v>
      </c>
      <c r="K282">
        <f t="shared" si="15"/>
        <v>0.36080820753400178</v>
      </c>
      <c r="L282" t="e">
        <f t="shared" si="15"/>
        <v>#DIV/0!</v>
      </c>
      <c r="M282">
        <f t="shared" si="15"/>
        <v>0.32464266712611672</v>
      </c>
      <c r="N282">
        <f t="shared" si="13"/>
        <v>-6.1030095932169764E-2</v>
      </c>
      <c r="O282">
        <f t="shared" si="13"/>
        <v>0.80963097310551635</v>
      </c>
    </row>
    <row r="283" spans="1:15" x14ac:dyDescent="0.4">
      <c r="A283">
        <v>19.8</v>
      </c>
      <c r="B283">
        <v>6</v>
      </c>
      <c r="C283">
        <v>200</v>
      </c>
      <c r="D283" t="s">
        <v>327</v>
      </c>
      <c r="E283">
        <v>2990</v>
      </c>
      <c r="F283">
        <v>18.2</v>
      </c>
      <c r="G283">
        <v>79</v>
      </c>
      <c r="H283">
        <v>1</v>
      </c>
      <c r="I283" t="s">
        <v>213</v>
      </c>
      <c r="J283">
        <f t="shared" si="14"/>
        <v>0.3209353435276921</v>
      </c>
      <c r="K283">
        <f t="shared" si="15"/>
        <v>6.312846802050992E-2</v>
      </c>
      <c r="L283" t="e">
        <f t="shared" si="15"/>
        <v>#DIV/0!</v>
      </c>
      <c r="M283">
        <f t="shared" si="15"/>
        <v>2.3144837799613478E-2</v>
      </c>
      <c r="N283">
        <f t="shared" si="13"/>
        <v>0.95559081448361904</v>
      </c>
      <c r="O283">
        <f t="shared" si="13"/>
        <v>0.80963097310551635</v>
      </c>
    </row>
    <row r="284" spans="1:15" x14ac:dyDescent="0.4">
      <c r="A284">
        <v>22.3</v>
      </c>
      <c r="B284">
        <v>4</v>
      </c>
      <c r="C284">
        <v>140</v>
      </c>
      <c r="D284" t="s">
        <v>328</v>
      </c>
      <c r="E284">
        <v>2890</v>
      </c>
      <c r="F284">
        <v>17.3</v>
      </c>
      <c r="G284">
        <v>79</v>
      </c>
      <c r="H284">
        <v>1</v>
      </c>
      <c r="I284" t="s">
        <v>214</v>
      </c>
      <c r="J284">
        <f t="shared" si="14"/>
        <v>-0.85632057097941794</v>
      </c>
      <c r="K284">
        <f t="shared" si="15"/>
        <v>-0.51302586652173232</v>
      </c>
      <c r="L284" t="e">
        <f t="shared" si="15"/>
        <v>#DIV/0!</v>
      </c>
      <c r="M284">
        <f t="shared" si="15"/>
        <v>-9.5089605073525055E-2</v>
      </c>
      <c r="N284">
        <f t="shared" si="13"/>
        <v>0.6288198075642587</v>
      </c>
      <c r="O284">
        <f t="shared" si="13"/>
        <v>0.80963097310551635</v>
      </c>
    </row>
    <row r="285" spans="1:15" x14ac:dyDescent="0.4">
      <c r="A285">
        <v>20.2</v>
      </c>
      <c r="B285">
        <v>6</v>
      </c>
      <c r="C285">
        <v>232</v>
      </c>
      <c r="D285" t="s">
        <v>331</v>
      </c>
      <c r="E285">
        <v>3265</v>
      </c>
      <c r="F285">
        <v>18.2</v>
      </c>
      <c r="G285">
        <v>79</v>
      </c>
      <c r="H285">
        <v>1</v>
      </c>
      <c r="I285" t="s">
        <v>215</v>
      </c>
      <c r="J285">
        <f t="shared" si="14"/>
        <v>0.3209353435276921</v>
      </c>
      <c r="K285">
        <f t="shared" si="15"/>
        <v>0.37041077977637243</v>
      </c>
      <c r="L285" t="e">
        <f t="shared" si="15"/>
        <v>#DIV/0!</v>
      </c>
      <c r="M285">
        <f t="shared" si="15"/>
        <v>0.34828955570074444</v>
      </c>
      <c r="N285">
        <f t="shared" si="13"/>
        <v>0.95559081448361904</v>
      </c>
      <c r="O285">
        <f t="shared" si="13"/>
        <v>0.80963097310551635</v>
      </c>
    </row>
    <row r="286" spans="1:15" x14ac:dyDescent="0.4">
      <c r="A286">
        <v>20.6</v>
      </c>
      <c r="B286">
        <v>6</v>
      </c>
      <c r="C286">
        <v>225</v>
      </c>
      <c r="D286" t="s">
        <v>342</v>
      </c>
      <c r="E286">
        <v>3360</v>
      </c>
      <c r="F286">
        <v>16.600000000000001</v>
      </c>
      <c r="G286">
        <v>79</v>
      </c>
      <c r="H286">
        <v>1</v>
      </c>
      <c r="I286" t="s">
        <v>216</v>
      </c>
      <c r="J286">
        <f t="shared" si="14"/>
        <v>0.3209353435276921</v>
      </c>
      <c r="K286">
        <f t="shared" si="15"/>
        <v>0.30319277407977752</v>
      </c>
      <c r="L286" t="e">
        <f t="shared" si="15"/>
        <v>#DIV/0!</v>
      </c>
      <c r="M286">
        <f t="shared" si="15"/>
        <v>0.46061227643022606</v>
      </c>
      <c r="N286">
        <f t="shared" si="13"/>
        <v>0.37466457996031172</v>
      </c>
      <c r="O286">
        <f t="shared" si="13"/>
        <v>0.80963097310551635</v>
      </c>
    </row>
    <row r="287" spans="1:15" x14ac:dyDescent="0.4">
      <c r="A287">
        <v>17</v>
      </c>
      <c r="B287">
        <v>8</v>
      </c>
      <c r="C287">
        <v>305</v>
      </c>
      <c r="D287" t="s">
        <v>314</v>
      </c>
      <c r="E287">
        <v>3840</v>
      </c>
      <c r="F287">
        <v>15.4</v>
      </c>
      <c r="G287">
        <v>79</v>
      </c>
      <c r="H287">
        <v>1</v>
      </c>
      <c r="I287" t="s">
        <v>80</v>
      </c>
      <c r="J287">
        <f t="shared" si="14"/>
        <v>1.498191258034802</v>
      </c>
      <c r="K287">
        <f t="shared" si="15"/>
        <v>1.0713985534694339</v>
      </c>
      <c r="L287" t="e">
        <f t="shared" si="15"/>
        <v>#DIV/0!</v>
      </c>
      <c r="M287">
        <f t="shared" si="15"/>
        <v>1.0281376022212909</v>
      </c>
      <c r="N287">
        <f t="shared" si="13"/>
        <v>-6.1030095932169764E-2</v>
      </c>
      <c r="O287">
        <f t="shared" si="13"/>
        <v>0.80963097310551635</v>
      </c>
    </row>
    <row r="288" spans="1:15" x14ac:dyDescent="0.4">
      <c r="A288">
        <v>17.600000000000001</v>
      </c>
      <c r="B288">
        <v>8</v>
      </c>
      <c r="C288">
        <v>302</v>
      </c>
      <c r="D288" t="s">
        <v>374</v>
      </c>
      <c r="E288">
        <v>3725</v>
      </c>
      <c r="F288">
        <v>13.4</v>
      </c>
      <c r="G288">
        <v>79</v>
      </c>
      <c r="H288">
        <v>1</v>
      </c>
      <c r="I288" t="s">
        <v>217</v>
      </c>
      <c r="J288">
        <f t="shared" si="14"/>
        <v>1.498191258034802</v>
      </c>
      <c r="K288">
        <f t="shared" si="15"/>
        <v>1.0425908367423218</v>
      </c>
      <c r="L288" t="e">
        <f t="shared" si="15"/>
        <v>#DIV/0!</v>
      </c>
      <c r="M288">
        <f t="shared" si="15"/>
        <v>0.89216799291718174</v>
      </c>
      <c r="N288">
        <f t="shared" si="13"/>
        <v>-0.78718788908630488</v>
      </c>
      <c r="O288">
        <f t="shared" si="13"/>
        <v>0.80963097310551635</v>
      </c>
    </row>
    <row r="289" spans="1:15" x14ac:dyDescent="0.4">
      <c r="A289">
        <v>16.5</v>
      </c>
      <c r="B289">
        <v>8</v>
      </c>
      <c r="C289">
        <v>351</v>
      </c>
      <c r="D289" t="s">
        <v>397</v>
      </c>
      <c r="E289">
        <v>3955</v>
      </c>
      <c r="F289">
        <v>13.2</v>
      </c>
      <c r="G289">
        <v>79</v>
      </c>
      <c r="H289">
        <v>1</v>
      </c>
      <c r="I289" t="s">
        <v>218</v>
      </c>
      <c r="J289">
        <f t="shared" si="14"/>
        <v>1.498191258034802</v>
      </c>
      <c r="K289">
        <f t="shared" si="15"/>
        <v>1.5131168766184864</v>
      </c>
      <c r="L289" t="e">
        <f t="shared" si="15"/>
        <v>#DIV/0!</v>
      </c>
      <c r="M289">
        <f t="shared" si="15"/>
        <v>1.1641072115254003</v>
      </c>
      <c r="N289">
        <f t="shared" si="13"/>
        <v>-0.85980366840171885</v>
      </c>
      <c r="O289">
        <f t="shared" si="13"/>
        <v>0.80963097310551635</v>
      </c>
    </row>
    <row r="290" spans="1:15" x14ac:dyDescent="0.4">
      <c r="A290">
        <v>18.2</v>
      </c>
      <c r="B290">
        <v>8</v>
      </c>
      <c r="C290">
        <v>318</v>
      </c>
      <c r="D290" t="s">
        <v>398</v>
      </c>
      <c r="E290">
        <v>3830</v>
      </c>
      <c r="F290">
        <v>15.2</v>
      </c>
      <c r="G290">
        <v>79</v>
      </c>
      <c r="H290">
        <v>1</v>
      </c>
      <c r="I290" t="s">
        <v>219</v>
      </c>
      <c r="J290">
        <f t="shared" si="14"/>
        <v>1.498191258034802</v>
      </c>
      <c r="K290">
        <f t="shared" si="15"/>
        <v>1.1962319926202531</v>
      </c>
      <c r="L290" t="e">
        <f t="shared" si="15"/>
        <v>#DIV/0!</v>
      </c>
      <c r="M290">
        <f t="shared" si="15"/>
        <v>1.0163141579339772</v>
      </c>
      <c r="N290">
        <f t="shared" si="13"/>
        <v>-0.13364587524758367</v>
      </c>
      <c r="O290">
        <f t="shared" si="13"/>
        <v>0.80963097310551635</v>
      </c>
    </row>
    <row r="291" spans="1:15" x14ac:dyDescent="0.4">
      <c r="A291">
        <v>16.899999999999999</v>
      </c>
      <c r="B291">
        <v>8</v>
      </c>
      <c r="C291">
        <v>350</v>
      </c>
      <c r="D291" t="s">
        <v>353</v>
      </c>
      <c r="E291">
        <v>4360</v>
      </c>
      <c r="F291">
        <v>14.9</v>
      </c>
      <c r="G291">
        <v>79</v>
      </c>
      <c r="H291">
        <v>1</v>
      </c>
      <c r="I291" t="s">
        <v>13</v>
      </c>
      <c r="J291">
        <f t="shared" si="14"/>
        <v>1.498191258034802</v>
      </c>
      <c r="K291">
        <f t="shared" si="15"/>
        <v>1.5035143043761157</v>
      </c>
      <c r="L291" t="e">
        <f t="shared" si="15"/>
        <v>#DIV/0!</v>
      </c>
      <c r="M291">
        <f t="shared" si="15"/>
        <v>1.6429567051616114</v>
      </c>
      <c r="N291">
        <f t="shared" si="13"/>
        <v>-0.24256954422070354</v>
      </c>
      <c r="O291">
        <f t="shared" si="13"/>
        <v>0.80963097310551635</v>
      </c>
    </row>
    <row r="292" spans="1:15" x14ac:dyDescent="0.4">
      <c r="A292">
        <v>15.5</v>
      </c>
      <c r="B292">
        <v>8</v>
      </c>
      <c r="C292">
        <v>351</v>
      </c>
      <c r="D292" t="s">
        <v>399</v>
      </c>
      <c r="E292">
        <v>4054</v>
      </c>
      <c r="F292">
        <v>14.3</v>
      </c>
      <c r="G292">
        <v>79</v>
      </c>
      <c r="H292">
        <v>1</v>
      </c>
      <c r="I292" t="s">
        <v>37</v>
      </c>
      <c r="J292">
        <f t="shared" si="14"/>
        <v>1.498191258034802</v>
      </c>
      <c r="K292">
        <f t="shared" si="15"/>
        <v>1.5131168766184864</v>
      </c>
      <c r="L292" t="e">
        <f t="shared" si="15"/>
        <v>#DIV/0!</v>
      </c>
      <c r="M292">
        <f t="shared" si="15"/>
        <v>1.2811593099698075</v>
      </c>
      <c r="N292">
        <f t="shared" si="13"/>
        <v>-0.46041688216694393</v>
      </c>
      <c r="O292">
        <f t="shared" si="13"/>
        <v>0.80963097310551635</v>
      </c>
    </row>
    <row r="293" spans="1:15" x14ac:dyDescent="0.4">
      <c r="A293">
        <v>19.2</v>
      </c>
      <c r="B293">
        <v>8</v>
      </c>
      <c r="C293">
        <v>267</v>
      </c>
      <c r="D293" t="s">
        <v>395</v>
      </c>
      <c r="E293">
        <v>3605</v>
      </c>
      <c r="F293">
        <v>15</v>
      </c>
      <c r="G293">
        <v>79</v>
      </c>
      <c r="H293">
        <v>1</v>
      </c>
      <c r="I293" t="s">
        <v>220</v>
      </c>
      <c r="J293">
        <f t="shared" si="14"/>
        <v>1.498191258034802</v>
      </c>
      <c r="K293">
        <f t="shared" si="15"/>
        <v>0.70650080825934714</v>
      </c>
      <c r="L293" t="e">
        <f t="shared" si="15"/>
        <v>#DIV/0!</v>
      </c>
      <c r="M293">
        <f t="shared" si="15"/>
        <v>0.75028666146941547</v>
      </c>
      <c r="N293">
        <f t="shared" si="13"/>
        <v>-0.20626165456299692</v>
      </c>
      <c r="O293">
        <f t="shared" si="13"/>
        <v>0.80963097310551635</v>
      </c>
    </row>
    <row r="294" spans="1:15" x14ac:dyDescent="0.4">
      <c r="A294">
        <v>18.5</v>
      </c>
      <c r="B294">
        <v>8</v>
      </c>
      <c r="C294">
        <v>360</v>
      </c>
      <c r="D294" t="s">
        <v>316</v>
      </c>
      <c r="E294">
        <v>3940</v>
      </c>
      <c r="F294">
        <v>13</v>
      </c>
      <c r="G294">
        <v>79</v>
      </c>
      <c r="H294">
        <v>1</v>
      </c>
      <c r="I294" t="s">
        <v>221</v>
      </c>
      <c r="J294">
        <f t="shared" si="14"/>
        <v>1.498191258034802</v>
      </c>
      <c r="K294">
        <f t="shared" si="15"/>
        <v>1.5995400267998225</v>
      </c>
      <c r="L294" t="e">
        <f t="shared" si="15"/>
        <v>#DIV/0!</v>
      </c>
      <c r="M294">
        <f t="shared" si="15"/>
        <v>1.1463720450944295</v>
      </c>
      <c r="N294">
        <f t="shared" si="13"/>
        <v>-0.93241944771713203</v>
      </c>
      <c r="O294">
        <f t="shared" si="13"/>
        <v>0.80963097310551635</v>
      </c>
    </row>
    <row r="295" spans="1:15" x14ac:dyDescent="0.4">
      <c r="A295">
        <v>31.9</v>
      </c>
      <c r="B295">
        <v>4</v>
      </c>
      <c r="C295">
        <v>89</v>
      </c>
      <c r="D295" t="s">
        <v>376</v>
      </c>
      <c r="E295">
        <v>1925</v>
      </c>
      <c r="F295">
        <v>14</v>
      </c>
      <c r="G295">
        <v>79</v>
      </c>
      <c r="H295">
        <v>2</v>
      </c>
      <c r="I295" t="s">
        <v>222</v>
      </c>
      <c r="J295">
        <f t="shared" si="14"/>
        <v>-0.85632057097941794</v>
      </c>
      <c r="K295">
        <f t="shared" si="15"/>
        <v>-1.0027570508826382</v>
      </c>
      <c r="L295" t="e">
        <f t="shared" si="15"/>
        <v>#DIV/0!</v>
      </c>
      <c r="M295">
        <f t="shared" si="15"/>
        <v>-1.2360519787993118</v>
      </c>
      <c r="N295">
        <f t="shared" si="13"/>
        <v>-0.56934055114006443</v>
      </c>
      <c r="O295">
        <f t="shared" si="13"/>
        <v>0.80963097310551635</v>
      </c>
    </row>
    <row r="296" spans="1:15" x14ac:dyDescent="0.4">
      <c r="A296">
        <v>34.1</v>
      </c>
      <c r="B296">
        <v>4</v>
      </c>
      <c r="C296">
        <v>86</v>
      </c>
      <c r="D296" t="s">
        <v>347</v>
      </c>
      <c r="E296">
        <v>1975</v>
      </c>
      <c r="F296">
        <v>15.2</v>
      </c>
      <c r="G296">
        <v>79</v>
      </c>
      <c r="H296">
        <v>3</v>
      </c>
      <c r="I296" t="s">
        <v>223</v>
      </c>
      <c r="J296">
        <f t="shared" si="14"/>
        <v>-0.85632057097941794</v>
      </c>
      <c r="K296">
        <f t="shared" si="15"/>
        <v>-1.0315647676097504</v>
      </c>
      <c r="L296" t="e">
        <f t="shared" si="15"/>
        <v>#DIV/0!</v>
      </c>
      <c r="M296">
        <f t="shared" si="15"/>
        <v>-1.1769347573627427</v>
      </c>
      <c r="N296">
        <f t="shared" si="13"/>
        <v>-0.13364587524758367</v>
      </c>
      <c r="O296">
        <f t="shared" si="13"/>
        <v>0.80963097310551635</v>
      </c>
    </row>
    <row r="297" spans="1:15" x14ac:dyDescent="0.4">
      <c r="A297">
        <v>35.700000000000003</v>
      </c>
      <c r="B297">
        <v>4</v>
      </c>
      <c r="C297">
        <v>98</v>
      </c>
      <c r="D297" t="s">
        <v>350</v>
      </c>
      <c r="E297">
        <v>1915</v>
      </c>
      <c r="F297">
        <v>14.4</v>
      </c>
      <c r="G297">
        <v>79</v>
      </c>
      <c r="H297">
        <v>1</v>
      </c>
      <c r="I297" t="s">
        <v>224</v>
      </c>
      <c r="J297">
        <f t="shared" si="14"/>
        <v>-0.85632057097941794</v>
      </c>
      <c r="K297">
        <f t="shared" si="15"/>
        <v>-0.91633390070130194</v>
      </c>
      <c r="L297" t="e">
        <f t="shared" si="15"/>
        <v>#DIV/0!</v>
      </c>
      <c r="M297">
        <f t="shared" si="15"/>
        <v>-1.2478754230866258</v>
      </c>
      <c r="N297">
        <f t="shared" si="13"/>
        <v>-0.42410899250923734</v>
      </c>
      <c r="O297">
        <f t="shared" si="13"/>
        <v>0.80963097310551635</v>
      </c>
    </row>
    <row r="298" spans="1:15" x14ac:dyDescent="0.4">
      <c r="A298">
        <v>27.4</v>
      </c>
      <c r="B298">
        <v>4</v>
      </c>
      <c r="C298">
        <v>121</v>
      </c>
      <c r="D298" t="s">
        <v>350</v>
      </c>
      <c r="E298">
        <v>2670</v>
      </c>
      <c r="F298">
        <v>15</v>
      </c>
      <c r="G298">
        <v>79</v>
      </c>
      <c r="H298">
        <v>1</v>
      </c>
      <c r="I298" t="s">
        <v>225</v>
      </c>
      <c r="J298">
        <f t="shared" si="14"/>
        <v>-0.85632057097941794</v>
      </c>
      <c r="K298">
        <f t="shared" si="15"/>
        <v>-0.69547473912677571</v>
      </c>
      <c r="L298" t="e">
        <f t="shared" si="15"/>
        <v>#DIV/0!</v>
      </c>
      <c r="M298">
        <f t="shared" si="15"/>
        <v>-0.35520537939442981</v>
      </c>
      <c r="N298">
        <f t="shared" si="13"/>
        <v>-0.20626165456299692</v>
      </c>
      <c r="O298">
        <f t="shared" si="13"/>
        <v>0.80963097310551635</v>
      </c>
    </row>
    <row r="299" spans="1:15" x14ac:dyDescent="0.4">
      <c r="A299">
        <v>25.4</v>
      </c>
      <c r="B299">
        <v>5</v>
      </c>
      <c r="C299">
        <v>183</v>
      </c>
      <c r="D299" t="s">
        <v>400</v>
      </c>
      <c r="E299">
        <v>3530</v>
      </c>
      <c r="F299">
        <v>20.100000000000001</v>
      </c>
      <c r="G299">
        <v>79</v>
      </c>
      <c r="H299">
        <v>2</v>
      </c>
      <c r="I299" t="s">
        <v>226</v>
      </c>
      <c r="J299">
        <f t="shared" si="14"/>
        <v>-0.26769261372586289</v>
      </c>
      <c r="K299">
        <f t="shared" si="15"/>
        <v>-0.10011526009979206</v>
      </c>
      <c r="L299" t="e">
        <f t="shared" si="15"/>
        <v>#DIV/0!</v>
      </c>
      <c r="M299">
        <f t="shared" si="15"/>
        <v>0.66161082931456161</v>
      </c>
      <c r="N299">
        <f t="shared" si="13"/>
        <v>1.6454407179800481</v>
      </c>
      <c r="O299">
        <f t="shared" si="13"/>
        <v>0.80963097310551635</v>
      </c>
    </row>
    <row r="300" spans="1:15" x14ac:dyDescent="0.4">
      <c r="A300">
        <v>23</v>
      </c>
      <c r="B300">
        <v>8</v>
      </c>
      <c r="C300">
        <v>350</v>
      </c>
      <c r="D300" t="s">
        <v>395</v>
      </c>
      <c r="E300">
        <v>3900</v>
      </c>
      <c r="F300">
        <v>17.399999999999999</v>
      </c>
      <c r="G300">
        <v>79</v>
      </c>
      <c r="H300">
        <v>1</v>
      </c>
      <c r="I300" t="s">
        <v>227</v>
      </c>
      <c r="J300">
        <f t="shared" si="14"/>
        <v>1.498191258034802</v>
      </c>
      <c r="K300">
        <f t="shared" si="15"/>
        <v>1.5035143043761157</v>
      </c>
      <c r="L300" t="e">
        <f t="shared" si="15"/>
        <v>#DIV/0!</v>
      </c>
      <c r="M300">
        <f t="shared" si="15"/>
        <v>1.099078267945174</v>
      </c>
      <c r="N300">
        <f t="shared" si="13"/>
        <v>0.66512769722196474</v>
      </c>
      <c r="O300">
        <f t="shared" si="13"/>
        <v>0.80963097310551635</v>
      </c>
    </row>
    <row r="301" spans="1:15" x14ac:dyDescent="0.4">
      <c r="A301">
        <v>27.2</v>
      </c>
      <c r="B301">
        <v>4</v>
      </c>
      <c r="C301">
        <v>141</v>
      </c>
      <c r="D301" t="s">
        <v>376</v>
      </c>
      <c r="E301">
        <v>3190</v>
      </c>
      <c r="F301">
        <v>24.8</v>
      </c>
      <c r="G301">
        <v>79</v>
      </c>
      <c r="H301">
        <v>2</v>
      </c>
      <c r="I301" t="s">
        <v>20</v>
      </c>
      <c r="J301">
        <f t="shared" si="14"/>
        <v>-0.85632057097941794</v>
      </c>
      <c r="K301">
        <f t="shared" si="15"/>
        <v>-0.50342329427936161</v>
      </c>
      <c r="L301" t="e">
        <f t="shared" si="15"/>
        <v>#DIV/0!</v>
      </c>
      <c r="M301">
        <f t="shared" si="15"/>
        <v>0.25961372354589052</v>
      </c>
      <c r="N301">
        <f t="shared" si="13"/>
        <v>3.3519115318922656</v>
      </c>
      <c r="O301">
        <f t="shared" si="13"/>
        <v>0.80963097310551635</v>
      </c>
    </row>
    <row r="302" spans="1:15" x14ac:dyDescent="0.4">
      <c r="A302">
        <v>23.9</v>
      </c>
      <c r="B302">
        <v>8</v>
      </c>
      <c r="C302">
        <v>260</v>
      </c>
      <c r="D302" t="s">
        <v>331</v>
      </c>
      <c r="E302">
        <v>3420</v>
      </c>
      <c r="F302">
        <v>22.2</v>
      </c>
      <c r="G302">
        <v>79</v>
      </c>
      <c r="H302">
        <v>1</v>
      </c>
      <c r="I302" t="s">
        <v>185</v>
      </c>
      <c r="J302">
        <f t="shared" si="14"/>
        <v>1.498191258034802</v>
      </c>
      <c r="K302">
        <f t="shared" si="15"/>
        <v>0.63928280256275216</v>
      </c>
      <c r="L302" t="e">
        <f t="shared" si="15"/>
        <v>#DIV/0!</v>
      </c>
      <c r="M302">
        <f t="shared" si="15"/>
        <v>0.5315529421541092</v>
      </c>
      <c r="N302">
        <f t="shared" si="13"/>
        <v>2.4079064007918891</v>
      </c>
      <c r="O302">
        <f t="shared" si="13"/>
        <v>0.80963097310551635</v>
      </c>
    </row>
    <row r="303" spans="1:15" x14ac:dyDescent="0.4">
      <c r="A303">
        <v>34.200000000000003</v>
      </c>
      <c r="B303">
        <v>4</v>
      </c>
      <c r="C303">
        <v>105</v>
      </c>
      <c r="D303" t="s">
        <v>345</v>
      </c>
      <c r="E303">
        <v>2200</v>
      </c>
      <c r="F303">
        <v>13.2</v>
      </c>
      <c r="G303">
        <v>79</v>
      </c>
      <c r="H303">
        <v>1</v>
      </c>
      <c r="I303" t="s">
        <v>228</v>
      </c>
      <c r="J303">
        <f t="shared" si="14"/>
        <v>-0.85632057097941794</v>
      </c>
      <c r="K303">
        <f t="shared" si="15"/>
        <v>-0.84911589500470697</v>
      </c>
      <c r="L303" t="e">
        <f t="shared" si="15"/>
        <v>#DIV/0!</v>
      </c>
      <c r="M303">
        <f t="shared" si="15"/>
        <v>-0.91090726089818097</v>
      </c>
      <c r="N303">
        <f t="shared" si="13"/>
        <v>-0.85980366840171885</v>
      </c>
      <c r="O303">
        <f t="shared" si="13"/>
        <v>0.80963097310551635</v>
      </c>
    </row>
    <row r="304" spans="1:15" x14ac:dyDescent="0.4">
      <c r="A304">
        <v>34.5</v>
      </c>
      <c r="B304">
        <v>4</v>
      </c>
      <c r="C304">
        <v>105</v>
      </c>
      <c r="D304" t="s">
        <v>345</v>
      </c>
      <c r="E304">
        <v>2150</v>
      </c>
      <c r="F304">
        <v>14.9</v>
      </c>
      <c r="G304">
        <v>79</v>
      </c>
      <c r="H304">
        <v>1</v>
      </c>
      <c r="I304" t="s">
        <v>229</v>
      </c>
      <c r="J304">
        <f t="shared" si="14"/>
        <v>-0.85632057097941794</v>
      </c>
      <c r="K304">
        <f t="shared" si="15"/>
        <v>-0.84911589500470697</v>
      </c>
      <c r="L304" t="e">
        <f t="shared" si="15"/>
        <v>#DIV/0!</v>
      </c>
      <c r="M304">
        <f t="shared" si="15"/>
        <v>-0.97002448233475025</v>
      </c>
      <c r="N304">
        <f t="shared" si="13"/>
        <v>-0.24256954422070354</v>
      </c>
      <c r="O304">
        <f t="shared" si="13"/>
        <v>0.80963097310551635</v>
      </c>
    </row>
    <row r="305" spans="1:15" x14ac:dyDescent="0.4">
      <c r="A305">
        <v>31.8</v>
      </c>
      <c r="B305">
        <v>4</v>
      </c>
      <c r="C305">
        <v>85</v>
      </c>
      <c r="D305" t="s">
        <v>347</v>
      </c>
      <c r="E305">
        <v>2020</v>
      </c>
      <c r="F305">
        <v>19.2</v>
      </c>
      <c r="G305">
        <v>79</v>
      </c>
      <c r="H305">
        <v>3</v>
      </c>
      <c r="I305" t="s">
        <v>230</v>
      </c>
      <c r="J305">
        <f t="shared" si="14"/>
        <v>-0.85632057097941794</v>
      </c>
      <c r="K305">
        <f t="shared" si="15"/>
        <v>-1.0411673398521211</v>
      </c>
      <c r="L305" t="e">
        <f t="shared" si="15"/>
        <v>#DIV/0!</v>
      </c>
      <c r="M305">
        <f t="shared" si="15"/>
        <v>-1.1237292580698304</v>
      </c>
      <c r="N305">
        <f t="shared" si="13"/>
        <v>1.3186697110606866</v>
      </c>
      <c r="O305">
        <f t="shared" si="13"/>
        <v>0.80963097310551635</v>
      </c>
    </row>
    <row r="306" spans="1:15" x14ac:dyDescent="0.4">
      <c r="A306">
        <v>37.299999999999997</v>
      </c>
      <c r="B306">
        <v>4</v>
      </c>
      <c r="C306">
        <v>91</v>
      </c>
      <c r="D306" t="s">
        <v>348</v>
      </c>
      <c r="E306">
        <v>2130</v>
      </c>
      <c r="F306">
        <v>14.7</v>
      </c>
      <c r="G306">
        <v>79</v>
      </c>
      <c r="H306">
        <v>2</v>
      </c>
      <c r="I306" t="s">
        <v>231</v>
      </c>
      <c r="J306">
        <f t="shared" si="14"/>
        <v>-0.85632057097941794</v>
      </c>
      <c r="K306">
        <f t="shared" si="15"/>
        <v>-0.98355190639789691</v>
      </c>
      <c r="L306" t="e">
        <f t="shared" si="15"/>
        <v>#DIV/0!</v>
      </c>
      <c r="M306">
        <f t="shared" si="15"/>
        <v>-0.99367137090937796</v>
      </c>
      <c r="N306">
        <f t="shared" si="13"/>
        <v>-0.31518532353611745</v>
      </c>
      <c r="O306">
        <f t="shared" si="13"/>
        <v>0.80963097310551635</v>
      </c>
    </row>
    <row r="307" spans="1:15" x14ac:dyDescent="0.4">
      <c r="A307">
        <v>28.4</v>
      </c>
      <c r="B307">
        <v>4</v>
      </c>
      <c r="C307">
        <v>151</v>
      </c>
      <c r="D307" t="s">
        <v>331</v>
      </c>
      <c r="E307">
        <v>2670</v>
      </c>
      <c r="F307">
        <v>16</v>
      </c>
      <c r="G307">
        <v>79</v>
      </c>
      <c r="H307">
        <v>1</v>
      </c>
      <c r="I307" t="s">
        <v>232</v>
      </c>
      <c r="J307">
        <f t="shared" si="14"/>
        <v>-0.85632057097941794</v>
      </c>
      <c r="K307">
        <f t="shared" si="15"/>
        <v>-0.40739757185565462</v>
      </c>
      <c r="L307" t="e">
        <f t="shared" si="15"/>
        <v>#DIV/0!</v>
      </c>
      <c r="M307">
        <f t="shared" si="15"/>
        <v>-0.35520537939442981</v>
      </c>
      <c r="N307">
        <f t="shared" si="13"/>
        <v>0.15681724201407066</v>
      </c>
      <c r="O307">
        <f t="shared" si="13"/>
        <v>0.80963097310551635</v>
      </c>
    </row>
    <row r="308" spans="1:15" x14ac:dyDescent="0.4">
      <c r="A308">
        <v>28.8</v>
      </c>
      <c r="B308">
        <v>6</v>
      </c>
      <c r="C308">
        <v>173</v>
      </c>
      <c r="D308" t="s">
        <v>378</v>
      </c>
      <c r="E308">
        <v>2595</v>
      </c>
      <c r="F308">
        <v>11.3</v>
      </c>
      <c r="G308">
        <v>79</v>
      </c>
      <c r="H308">
        <v>1</v>
      </c>
      <c r="I308" t="s">
        <v>233</v>
      </c>
      <c r="J308">
        <f t="shared" si="14"/>
        <v>0.3209353435276921</v>
      </c>
      <c r="K308">
        <f t="shared" si="15"/>
        <v>-0.1961409825234991</v>
      </c>
      <c r="L308" t="e">
        <f t="shared" si="15"/>
        <v>#DIV/0!</v>
      </c>
      <c r="M308">
        <f t="shared" si="15"/>
        <v>-0.44388121154928373</v>
      </c>
      <c r="N308">
        <f t="shared" si="13"/>
        <v>-1.5496535718981466</v>
      </c>
      <c r="O308">
        <f t="shared" si="13"/>
        <v>0.80963097310551635</v>
      </c>
    </row>
    <row r="309" spans="1:15" x14ac:dyDescent="0.4">
      <c r="A309">
        <v>26.8</v>
      </c>
      <c r="B309">
        <v>6</v>
      </c>
      <c r="C309">
        <v>173</v>
      </c>
      <c r="D309" t="s">
        <v>378</v>
      </c>
      <c r="E309">
        <v>2700</v>
      </c>
      <c r="F309">
        <v>12.9</v>
      </c>
      <c r="G309">
        <v>79</v>
      </c>
      <c r="H309">
        <v>1</v>
      </c>
      <c r="I309" t="s">
        <v>234</v>
      </c>
      <c r="J309">
        <f t="shared" si="14"/>
        <v>0.3209353435276921</v>
      </c>
      <c r="K309">
        <f t="shared" si="15"/>
        <v>-0.1961409825234991</v>
      </c>
      <c r="L309" t="e">
        <f t="shared" si="15"/>
        <v>#DIV/0!</v>
      </c>
      <c r="M309">
        <f t="shared" si="15"/>
        <v>-0.3197350465324883</v>
      </c>
      <c r="N309">
        <f t="shared" si="13"/>
        <v>-0.96872733737483863</v>
      </c>
      <c r="O309">
        <f t="shared" si="13"/>
        <v>0.80963097310551635</v>
      </c>
    </row>
    <row r="310" spans="1:15" x14ac:dyDescent="0.4">
      <c r="A310">
        <v>33.5</v>
      </c>
      <c r="B310">
        <v>4</v>
      </c>
      <c r="C310">
        <v>151</v>
      </c>
      <c r="D310" t="s">
        <v>331</v>
      </c>
      <c r="E310">
        <v>2556</v>
      </c>
      <c r="F310">
        <v>13.2</v>
      </c>
      <c r="G310">
        <v>79</v>
      </c>
      <c r="H310">
        <v>1</v>
      </c>
      <c r="I310" t="s">
        <v>235</v>
      </c>
      <c r="J310">
        <f t="shared" si="14"/>
        <v>-0.85632057097941794</v>
      </c>
      <c r="K310">
        <f t="shared" si="15"/>
        <v>-0.40739757185565462</v>
      </c>
      <c r="L310" t="e">
        <f t="shared" si="15"/>
        <v>#DIV/0!</v>
      </c>
      <c r="M310">
        <f t="shared" si="15"/>
        <v>-0.48999264426980776</v>
      </c>
      <c r="N310">
        <f t="shared" si="13"/>
        <v>-0.85980366840171885</v>
      </c>
      <c r="O310">
        <f t="shared" si="13"/>
        <v>0.80963097310551635</v>
      </c>
    </row>
    <row r="311" spans="1:15" x14ac:dyDescent="0.4">
      <c r="A311">
        <v>41.5</v>
      </c>
      <c r="B311">
        <v>4</v>
      </c>
      <c r="C311">
        <v>98</v>
      </c>
      <c r="D311" t="s">
        <v>346</v>
      </c>
      <c r="E311">
        <v>2144</v>
      </c>
      <c r="F311">
        <v>14.7</v>
      </c>
      <c r="G311">
        <v>80</v>
      </c>
      <c r="H311">
        <v>2</v>
      </c>
      <c r="I311" t="s">
        <v>143</v>
      </c>
      <c r="J311">
        <f t="shared" si="14"/>
        <v>-0.85632057097941794</v>
      </c>
      <c r="K311">
        <f t="shared" si="15"/>
        <v>-0.91633390070130194</v>
      </c>
      <c r="L311" t="e">
        <f t="shared" si="15"/>
        <v>#DIV/0!</v>
      </c>
      <c r="M311">
        <f t="shared" si="15"/>
        <v>-0.97711854890713856</v>
      </c>
      <c r="N311">
        <f t="shared" si="13"/>
        <v>-0.31518532353611745</v>
      </c>
      <c r="O311">
        <f t="shared" si="13"/>
        <v>1.0804151136903872</v>
      </c>
    </row>
    <row r="312" spans="1:15" x14ac:dyDescent="0.4">
      <c r="A312">
        <v>38.1</v>
      </c>
      <c r="B312">
        <v>4</v>
      </c>
      <c r="C312">
        <v>89</v>
      </c>
      <c r="D312" t="s">
        <v>349</v>
      </c>
      <c r="E312">
        <v>1968</v>
      </c>
      <c r="F312">
        <v>18.8</v>
      </c>
      <c r="G312">
        <v>80</v>
      </c>
      <c r="H312">
        <v>3</v>
      </c>
      <c r="I312" t="s">
        <v>236</v>
      </c>
      <c r="J312">
        <f t="shared" si="14"/>
        <v>-0.85632057097941794</v>
      </c>
      <c r="K312">
        <f t="shared" si="15"/>
        <v>-1.0027570508826382</v>
      </c>
      <c r="L312" t="e">
        <f t="shared" si="15"/>
        <v>#DIV/0!</v>
      </c>
      <c r="M312">
        <f t="shared" si="15"/>
        <v>-1.1852111683638624</v>
      </c>
      <c r="N312">
        <f t="shared" si="13"/>
        <v>1.17343815242986</v>
      </c>
      <c r="O312">
        <f t="shared" si="13"/>
        <v>1.0804151136903872</v>
      </c>
    </row>
    <row r="313" spans="1:15" x14ac:dyDescent="0.4">
      <c r="A313">
        <v>32.1</v>
      </c>
      <c r="B313">
        <v>4</v>
      </c>
      <c r="C313">
        <v>98</v>
      </c>
      <c r="D313" t="s">
        <v>345</v>
      </c>
      <c r="E313">
        <v>2120</v>
      </c>
      <c r="F313">
        <v>15.5</v>
      </c>
      <c r="G313">
        <v>80</v>
      </c>
      <c r="H313">
        <v>1</v>
      </c>
      <c r="I313" t="s">
        <v>141</v>
      </c>
      <c r="J313">
        <f t="shared" si="14"/>
        <v>-0.85632057097941794</v>
      </c>
      <c r="K313">
        <f t="shared" si="15"/>
        <v>-0.91633390070130194</v>
      </c>
      <c r="L313" t="e">
        <f t="shared" si="15"/>
        <v>#DIV/0!</v>
      </c>
      <c r="M313">
        <f t="shared" si="15"/>
        <v>-1.0054948151966918</v>
      </c>
      <c r="N313">
        <f t="shared" si="13"/>
        <v>-2.4722206274463136E-2</v>
      </c>
      <c r="O313">
        <f t="shared" si="13"/>
        <v>1.0804151136903872</v>
      </c>
    </row>
    <row r="314" spans="1:15" x14ac:dyDescent="0.4">
      <c r="A314">
        <v>37.200000000000003</v>
      </c>
      <c r="B314">
        <v>4</v>
      </c>
      <c r="C314">
        <v>86</v>
      </c>
      <c r="D314" t="s">
        <v>347</v>
      </c>
      <c r="E314">
        <v>2019</v>
      </c>
      <c r="F314">
        <v>16.399999999999999</v>
      </c>
      <c r="G314">
        <v>80</v>
      </c>
      <c r="H314">
        <v>3</v>
      </c>
      <c r="I314" t="s">
        <v>237</v>
      </c>
      <c r="J314">
        <f t="shared" si="14"/>
        <v>-0.85632057097941794</v>
      </c>
      <c r="K314">
        <f t="shared" si="15"/>
        <v>-1.0315647676097504</v>
      </c>
      <c r="L314" t="e">
        <f t="shared" si="15"/>
        <v>#DIV/0!</v>
      </c>
      <c r="M314">
        <f t="shared" si="15"/>
        <v>-1.1249116024985617</v>
      </c>
      <c r="N314">
        <f t="shared" si="13"/>
        <v>0.30204880064489714</v>
      </c>
      <c r="O314">
        <f t="shared" si="13"/>
        <v>1.0804151136903872</v>
      </c>
    </row>
    <row r="315" spans="1:15" x14ac:dyDescent="0.4">
      <c r="A315">
        <v>28</v>
      </c>
      <c r="B315">
        <v>4</v>
      </c>
      <c r="C315">
        <v>151</v>
      </c>
      <c r="D315" t="s">
        <v>331</v>
      </c>
      <c r="E315">
        <v>2678</v>
      </c>
      <c r="F315">
        <v>16.5</v>
      </c>
      <c r="G315">
        <v>80</v>
      </c>
      <c r="H315">
        <v>1</v>
      </c>
      <c r="I315" t="s">
        <v>233</v>
      </c>
      <c r="J315">
        <f t="shared" si="14"/>
        <v>-0.85632057097941794</v>
      </c>
      <c r="K315">
        <f t="shared" si="15"/>
        <v>-0.40739757185565462</v>
      </c>
      <c r="L315" t="e">
        <f t="shared" si="15"/>
        <v>#DIV/0!</v>
      </c>
      <c r="M315">
        <f t="shared" si="15"/>
        <v>-0.34574662396457873</v>
      </c>
      <c r="N315">
        <f t="shared" si="13"/>
        <v>0.3383566903026044</v>
      </c>
      <c r="O315">
        <f t="shared" si="13"/>
        <v>1.0804151136903872</v>
      </c>
    </row>
    <row r="316" spans="1:15" x14ac:dyDescent="0.4">
      <c r="A316">
        <v>26.4</v>
      </c>
      <c r="B316">
        <v>4</v>
      </c>
      <c r="C316">
        <v>140</v>
      </c>
      <c r="D316" t="s">
        <v>328</v>
      </c>
      <c r="E316">
        <v>2870</v>
      </c>
      <c r="F316">
        <v>18.100000000000001</v>
      </c>
      <c r="G316">
        <v>80</v>
      </c>
      <c r="H316">
        <v>1</v>
      </c>
      <c r="I316" t="s">
        <v>238</v>
      </c>
      <c r="J316">
        <f t="shared" si="14"/>
        <v>-0.85632057097941794</v>
      </c>
      <c r="K316">
        <f t="shared" si="15"/>
        <v>-0.51302586652173232</v>
      </c>
      <c r="L316" t="e">
        <f t="shared" si="15"/>
        <v>#DIV/0!</v>
      </c>
      <c r="M316">
        <f t="shared" si="15"/>
        <v>-0.11873649364815277</v>
      </c>
      <c r="N316">
        <f t="shared" si="13"/>
        <v>0.91928292482591301</v>
      </c>
      <c r="O316">
        <f t="shared" si="13"/>
        <v>1.0804151136903872</v>
      </c>
    </row>
    <row r="317" spans="1:15" x14ac:dyDescent="0.4">
      <c r="A317">
        <v>24.3</v>
      </c>
      <c r="B317">
        <v>4</v>
      </c>
      <c r="C317">
        <v>151</v>
      </c>
      <c r="D317" t="s">
        <v>331</v>
      </c>
      <c r="E317">
        <v>3003</v>
      </c>
      <c r="F317">
        <v>20.100000000000001</v>
      </c>
      <c r="G317">
        <v>80</v>
      </c>
      <c r="H317">
        <v>1</v>
      </c>
      <c r="I317" t="s">
        <v>192</v>
      </c>
      <c r="J317">
        <f t="shared" si="14"/>
        <v>-0.85632057097941794</v>
      </c>
      <c r="K317">
        <f t="shared" si="15"/>
        <v>-0.40739757185565462</v>
      </c>
      <c r="L317" t="e">
        <f t="shared" si="15"/>
        <v>#DIV/0!</v>
      </c>
      <c r="M317">
        <f t="shared" si="15"/>
        <v>3.8515315373121486E-2</v>
      </c>
      <c r="N317">
        <f t="shared" si="13"/>
        <v>1.6454407179800481</v>
      </c>
      <c r="O317">
        <f t="shared" si="13"/>
        <v>1.0804151136903872</v>
      </c>
    </row>
    <row r="318" spans="1:15" x14ac:dyDescent="0.4">
      <c r="A318">
        <v>19.100000000000001</v>
      </c>
      <c r="B318">
        <v>6</v>
      </c>
      <c r="C318">
        <v>225</v>
      </c>
      <c r="D318" t="s">
        <v>331</v>
      </c>
      <c r="E318">
        <v>3381</v>
      </c>
      <c r="F318">
        <v>18.7</v>
      </c>
      <c r="G318">
        <v>80</v>
      </c>
      <c r="H318">
        <v>1</v>
      </c>
      <c r="I318" t="s">
        <v>195</v>
      </c>
      <c r="J318">
        <f t="shared" si="14"/>
        <v>0.3209353435276921</v>
      </c>
      <c r="K318">
        <f t="shared" si="15"/>
        <v>0.30319277407977752</v>
      </c>
      <c r="L318" t="e">
        <f t="shared" si="15"/>
        <v>#DIV/0!</v>
      </c>
      <c r="M318">
        <f t="shared" si="15"/>
        <v>0.48544150943358516</v>
      </c>
      <c r="N318">
        <f t="shared" si="13"/>
        <v>1.1371302627721529</v>
      </c>
      <c r="O318">
        <f t="shared" si="13"/>
        <v>1.0804151136903872</v>
      </c>
    </row>
    <row r="319" spans="1:15" x14ac:dyDescent="0.4">
      <c r="A319">
        <v>34.299999999999997</v>
      </c>
      <c r="B319">
        <v>4</v>
      </c>
      <c r="C319">
        <v>97</v>
      </c>
      <c r="D319" t="s">
        <v>369</v>
      </c>
      <c r="E319">
        <v>2188</v>
      </c>
      <c r="F319">
        <v>15.8</v>
      </c>
      <c r="G319">
        <v>80</v>
      </c>
      <c r="H319">
        <v>2</v>
      </c>
      <c r="I319" t="s">
        <v>239</v>
      </c>
      <c r="J319">
        <f t="shared" si="14"/>
        <v>-0.85632057097941794</v>
      </c>
      <c r="K319">
        <f t="shared" si="15"/>
        <v>-0.92593647294367265</v>
      </c>
      <c r="L319" t="e">
        <f t="shared" si="15"/>
        <v>#DIV/0!</v>
      </c>
      <c r="M319">
        <f t="shared" si="15"/>
        <v>-0.9250953940429576</v>
      </c>
      <c r="N319">
        <f t="shared" si="13"/>
        <v>8.4201462698657387E-2</v>
      </c>
      <c r="O319">
        <f t="shared" si="13"/>
        <v>1.0804151136903872</v>
      </c>
    </row>
    <row r="320" spans="1:15" x14ac:dyDescent="0.4">
      <c r="A320">
        <v>29.8</v>
      </c>
      <c r="B320">
        <v>4</v>
      </c>
      <c r="C320">
        <v>134</v>
      </c>
      <c r="D320" t="s">
        <v>331</v>
      </c>
      <c r="E320">
        <v>2711</v>
      </c>
      <c r="F320">
        <v>15.5</v>
      </c>
      <c r="G320">
        <v>80</v>
      </c>
      <c r="H320">
        <v>3</v>
      </c>
      <c r="I320" t="s">
        <v>240</v>
      </c>
      <c r="J320">
        <f t="shared" si="14"/>
        <v>-0.85632057097941794</v>
      </c>
      <c r="K320">
        <f t="shared" si="15"/>
        <v>-0.57064129997595658</v>
      </c>
      <c r="L320" t="e">
        <f t="shared" si="15"/>
        <v>#DIV/0!</v>
      </c>
      <c r="M320">
        <f t="shared" si="15"/>
        <v>-0.30672925781644306</v>
      </c>
      <c r="N320">
        <f t="shared" si="13"/>
        <v>-2.4722206274463136E-2</v>
      </c>
      <c r="O320">
        <f t="shared" si="13"/>
        <v>1.0804151136903872</v>
      </c>
    </row>
    <row r="321" spans="1:15" x14ac:dyDescent="0.4">
      <c r="A321">
        <v>31.3</v>
      </c>
      <c r="B321">
        <v>4</v>
      </c>
      <c r="C321">
        <v>120</v>
      </c>
      <c r="D321" t="s">
        <v>364</v>
      </c>
      <c r="E321">
        <v>2542</v>
      </c>
      <c r="F321">
        <v>17.5</v>
      </c>
      <c r="G321">
        <v>80</v>
      </c>
      <c r="H321">
        <v>3</v>
      </c>
      <c r="I321" t="s">
        <v>241</v>
      </c>
      <c r="J321">
        <f t="shared" si="14"/>
        <v>-0.85632057097941794</v>
      </c>
      <c r="K321">
        <f t="shared" si="15"/>
        <v>-0.70507731136914642</v>
      </c>
      <c r="L321" t="e">
        <f t="shared" si="15"/>
        <v>#DIV/0!</v>
      </c>
      <c r="M321">
        <f t="shared" si="15"/>
        <v>-0.50654546627204711</v>
      </c>
      <c r="N321">
        <f t="shared" si="13"/>
        <v>0.701435586879672</v>
      </c>
      <c r="O321">
        <f t="shared" si="13"/>
        <v>1.0804151136903872</v>
      </c>
    </row>
    <row r="322" spans="1:15" x14ac:dyDescent="0.4">
      <c r="A322">
        <v>37</v>
      </c>
      <c r="B322">
        <v>4</v>
      </c>
      <c r="C322">
        <v>119</v>
      </c>
      <c r="D322" t="s">
        <v>355</v>
      </c>
      <c r="E322">
        <v>2434</v>
      </c>
      <c r="F322">
        <v>15</v>
      </c>
      <c r="G322">
        <v>80</v>
      </c>
      <c r="H322">
        <v>3</v>
      </c>
      <c r="I322" t="s">
        <v>242</v>
      </c>
      <c r="J322">
        <f t="shared" si="14"/>
        <v>-0.85632057097941794</v>
      </c>
      <c r="K322">
        <f t="shared" si="15"/>
        <v>-0.71467988361151713</v>
      </c>
      <c r="L322" t="e">
        <f t="shared" si="15"/>
        <v>#DIV/0!</v>
      </c>
      <c r="M322">
        <f t="shared" si="15"/>
        <v>-0.63423866457503675</v>
      </c>
      <c r="N322">
        <f t="shared" si="15"/>
        <v>-0.20626165456299692</v>
      </c>
      <c r="O322">
        <f t="shared" si="15"/>
        <v>1.0804151136903872</v>
      </c>
    </row>
    <row r="323" spans="1:15" x14ac:dyDescent="0.4">
      <c r="A323">
        <v>32.200000000000003</v>
      </c>
      <c r="B323">
        <v>4</v>
      </c>
      <c r="C323">
        <v>108</v>
      </c>
      <c r="D323" t="s">
        <v>364</v>
      </c>
      <c r="E323">
        <v>2265</v>
      </c>
      <c r="F323">
        <v>15.2</v>
      </c>
      <c r="G323">
        <v>80</v>
      </c>
      <c r="H323">
        <v>3</v>
      </c>
      <c r="I323" t="s">
        <v>131</v>
      </c>
      <c r="J323">
        <f t="shared" ref="J323:J386" si="16">(B323-P$2)/P$3</f>
        <v>-0.85632057097941794</v>
      </c>
      <c r="K323">
        <f t="shared" ref="K323:N386" si="17">(C323-Q$2)/Q$3</f>
        <v>-0.82030817827759495</v>
      </c>
      <c r="L323" t="e">
        <f t="shared" si="17"/>
        <v>#DIV/0!</v>
      </c>
      <c r="M323">
        <f t="shared" si="17"/>
        <v>-0.83405487303064085</v>
      </c>
      <c r="N323">
        <f t="shared" si="17"/>
        <v>-0.13364587524758367</v>
      </c>
      <c r="O323">
        <f t="shared" ref="O323:O386" si="18">(G323-U$2)/U$3</f>
        <v>1.0804151136903872</v>
      </c>
    </row>
    <row r="324" spans="1:15" x14ac:dyDescent="0.4">
      <c r="A324">
        <v>46.6</v>
      </c>
      <c r="B324">
        <v>4</v>
      </c>
      <c r="C324">
        <v>86</v>
      </c>
      <c r="D324" t="s">
        <v>347</v>
      </c>
      <c r="E324">
        <v>2110</v>
      </c>
      <c r="F324">
        <v>17.899999999999999</v>
      </c>
      <c r="G324">
        <v>80</v>
      </c>
      <c r="H324">
        <v>3</v>
      </c>
      <c r="I324" t="s">
        <v>243</v>
      </c>
      <c r="J324">
        <f t="shared" si="16"/>
        <v>-0.85632057097941794</v>
      </c>
      <c r="K324">
        <f t="shared" si="17"/>
        <v>-1.0315647676097504</v>
      </c>
      <c r="L324" t="e">
        <f t="shared" si="17"/>
        <v>#DIV/0!</v>
      </c>
      <c r="M324">
        <f t="shared" si="17"/>
        <v>-1.0173182594840056</v>
      </c>
      <c r="N324">
        <f t="shared" si="17"/>
        <v>0.84666714551049849</v>
      </c>
      <c r="O324">
        <f t="shared" si="18"/>
        <v>1.0804151136903872</v>
      </c>
    </row>
    <row r="325" spans="1:15" x14ac:dyDescent="0.4">
      <c r="A325">
        <v>27.9</v>
      </c>
      <c r="B325">
        <v>4</v>
      </c>
      <c r="C325">
        <v>156</v>
      </c>
      <c r="D325" t="s">
        <v>338</v>
      </c>
      <c r="E325">
        <v>2800</v>
      </c>
      <c r="F325">
        <v>14.4</v>
      </c>
      <c r="G325">
        <v>80</v>
      </c>
      <c r="H325">
        <v>1</v>
      </c>
      <c r="I325" t="s">
        <v>116</v>
      </c>
      <c r="J325">
        <f t="shared" si="16"/>
        <v>-0.85632057097941794</v>
      </c>
      <c r="K325">
        <f t="shared" si="17"/>
        <v>-0.35938471064380106</v>
      </c>
      <c r="L325" t="e">
        <f t="shared" si="17"/>
        <v>#DIV/0!</v>
      </c>
      <c r="M325">
        <f t="shared" si="17"/>
        <v>-0.20150060365934974</v>
      </c>
      <c r="N325">
        <f t="shared" si="17"/>
        <v>-0.42410899250923734</v>
      </c>
      <c r="O325">
        <f t="shared" si="18"/>
        <v>1.0804151136903872</v>
      </c>
    </row>
    <row r="326" spans="1:15" x14ac:dyDescent="0.4">
      <c r="A326">
        <v>40.799999999999997</v>
      </c>
      <c r="B326">
        <v>4</v>
      </c>
      <c r="C326">
        <v>85</v>
      </c>
      <c r="D326" t="s">
        <v>347</v>
      </c>
      <c r="E326">
        <v>2110</v>
      </c>
      <c r="F326">
        <v>19.2</v>
      </c>
      <c r="G326">
        <v>80</v>
      </c>
      <c r="H326">
        <v>3</v>
      </c>
      <c r="I326" t="s">
        <v>230</v>
      </c>
      <c r="J326">
        <f t="shared" si="16"/>
        <v>-0.85632057097941794</v>
      </c>
      <c r="K326">
        <f t="shared" si="17"/>
        <v>-1.0411673398521211</v>
      </c>
      <c r="L326" t="e">
        <f t="shared" si="17"/>
        <v>#DIV/0!</v>
      </c>
      <c r="M326">
        <f t="shared" si="17"/>
        <v>-1.0173182594840056</v>
      </c>
      <c r="N326">
        <f t="shared" si="17"/>
        <v>1.3186697110606866</v>
      </c>
      <c r="O326">
        <f t="shared" si="18"/>
        <v>1.0804151136903872</v>
      </c>
    </row>
    <row r="327" spans="1:15" x14ac:dyDescent="0.4">
      <c r="A327">
        <v>44.3</v>
      </c>
      <c r="B327">
        <v>4</v>
      </c>
      <c r="C327">
        <v>90</v>
      </c>
      <c r="D327" t="s">
        <v>391</v>
      </c>
      <c r="E327">
        <v>2085</v>
      </c>
      <c r="F327">
        <v>21.7</v>
      </c>
      <c r="G327">
        <v>80</v>
      </c>
      <c r="H327">
        <v>2</v>
      </c>
      <c r="I327" t="s">
        <v>244</v>
      </c>
      <c r="J327">
        <f t="shared" si="16"/>
        <v>-0.85632057097941794</v>
      </c>
      <c r="K327">
        <f t="shared" si="17"/>
        <v>-0.99315447864026762</v>
      </c>
      <c r="L327" t="e">
        <f t="shared" si="17"/>
        <v>#DIV/0!</v>
      </c>
      <c r="M327">
        <f t="shared" si="17"/>
        <v>-1.0468768702022901</v>
      </c>
      <c r="N327">
        <f t="shared" si="17"/>
        <v>2.2263669525033554</v>
      </c>
      <c r="O327">
        <f t="shared" si="18"/>
        <v>1.0804151136903872</v>
      </c>
    </row>
    <row r="328" spans="1:15" x14ac:dyDescent="0.4">
      <c r="A328">
        <v>43.4</v>
      </c>
      <c r="B328">
        <v>4</v>
      </c>
      <c r="C328">
        <v>90</v>
      </c>
      <c r="D328" t="s">
        <v>391</v>
      </c>
      <c r="E328">
        <v>2335</v>
      </c>
      <c r="F328">
        <v>23.7</v>
      </c>
      <c r="G328">
        <v>80</v>
      </c>
      <c r="H328">
        <v>2</v>
      </c>
      <c r="I328" t="s">
        <v>245</v>
      </c>
      <c r="J328">
        <f t="shared" si="16"/>
        <v>-0.85632057097941794</v>
      </c>
      <c r="K328">
        <f t="shared" si="17"/>
        <v>-0.99315447864026762</v>
      </c>
      <c r="L328" t="e">
        <f t="shared" si="17"/>
        <v>#DIV/0!</v>
      </c>
      <c r="M328">
        <f t="shared" si="17"/>
        <v>-0.75129076301944397</v>
      </c>
      <c r="N328">
        <f t="shared" si="17"/>
        <v>2.9525247456574908</v>
      </c>
      <c r="O328">
        <f t="shared" si="18"/>
        <v>1.0804151136903872</v>
      </c>
    </row>
    <row r="329" spans="1:15" x14ac:dyDescent="0.4">
      <c r="A329">
        <v>36.4</v>
      </c>
      <c r="B329">
        <v>5</v>
      </c>
      <c r="C329">
        <v>121</v>
      </c>
      <c r="D329" t="s">
        <v>367</v>
      </c>
      <c r="E329">
        <v>2950</v>
      </c>
      <c r="F329">
        <v>19.899999999999999</v>
      </c>
      <c r="G329">
        <v>80</v>
      </c>
      <c r="H329">
        <v>2</v>
      </c>
      <c r="I329" t="s">
        <v>246</v>
      </c>
      <c r="J329">
        <f t="shared" si="16"/>
        <v>-0.26769261372586289</v>
      </c>
      <c r="K329">
        <f t="shared" si="17"/>
        <v>-0.69547473912677571</v>
      </c>
      <c r="L329" t="e">
        <f t="shared" si="17"/>
        <v>#DIV/0!</v>
      </c>
      <c r="M329">
        <f t="shared" si="17"/>
        <v>-2.4148939349641935E-2</v>
      </c>
      <c r="N329">
        <f t="shared" si="17"/>
        <v>1.5728249386646336</v>
      </c>
      <c r="O329">
        <f t="shared" si="18"/>
        <v>1.0804151136903872</v>
      </c>
    </row>
    <row r="330" spans="1:15" x14ac:dyDescent="0.4">
      <c r="A330">
        <v>30</v>
      </c>
      <c r="B330">
        <v>4</v>
      </c>
      <c r="C330">
        <v>146</v>
      </c>
      <c r="D330" t="s">
        <v>367</v>
      </c>
      <c r="E330">
        <v>3250</v>
      </c>
      <c r="F330">
        <v>21.8</v>
      </c>
      <c r="G330">
        <v>80</v>
      </c>
      <c r="H330">
        <v>2</v>
      </c>
      <c r="I330" t="s">
        <v>247</v>
      </c>
      <c r="J330">
        <f t="shared" si="16"/>
        <v>-0.85632057097941794</v>
      </c>
      <c r="K330">
        <f t="shared" si="17"/>
        <v>-0.45541043306750811</v>
      </c>
      <c r="L330" t="e">
        <f t="shared" si="17"/>
        <v>#DIV/0!</v>
      </c>
      <c r="M330">
        <f t="shared" si="17"/>
        <v>0.33055438926977365</v>
      </c>
      <c r="N330">
        <f t="shared" si="17"/>
        <v>2.2626748421610627</v>
      </c>
      <c r="O330">
        <f t="shared" si="18"/>
        <v>1.0804151136903872</v>
      </c>
    </row>
    <row r="331" spans="1:15" x14ac:dyDescent="0.4">
      <c r="A331">
        <v>44.6</v>
      </c>
      <c r="B331">
        <v>4</v>
      </c>
      <c r="C331">
        <v>91</v>
      </c>
      <c r="D331" t="s">
        <v>367</v>
      </c>
      <c r="E331">
        <v>1850</v>
      </c>
      <c r="F331">
        <v>13.8</v>
      </c>
      <c r="G331">
        <v>80</v>
      </c>
      <c r="H331">
        <v>3</v>
      </c>
      <c r="I331" t="s">
        <v>248</v>
      </c>
      <c r="J331">
        <f t="shared" si="16"/>
        <v>-0.85632057097941794</v>
      </c>
      <c r="K331">
        <f t="shared" si="17"/>
        <v>-0.98355190639789691</v>
      </c>
      <c r="L331" t="e">
        <f t="shared" si="17"/>
        <v>#DIV/0!</v>
      </c>
      <c r="M331">
        <f t="shared" si="17"/>
        <v>-1.3247278109541658</v>
      </c>
      <c r="N331">
        <f t="shared" si="17"/>
        <v>-0.64195633045547773</v>
      </c>
      <c r="O331">
        <f t="shared" si="18"/>
        <v>1.0804151136903872</v>
      </c>
    </row>
    <row r="332" spans="1:15" x14ac:dyDescent="0.4">
      <c r="A332">
        <v>40.9</v>
      </c>
      <c r="B332">
        <v>4</v>
      </c>
      <c r="C332">
        <v>85</v>
      </c>
      <c r="D332" t="s">
        <v>336</v>
      </c>
      <c r="E332">
        <v>1835</v>
      </c>
      <c r="F332">
        <v>17.3</v>
      </c>
      <c r="G332">
        <v>80</v>
      </c>
      <c r="H332">
        <v>2</v>
      </c>
      <c r="I332" t="s">
        <v>249</v>
      </c>
      <c r="J332">
        <f t="shared" si="16"/>
        <v>-0.85632057097941794</v>
      </c>
      <c r="K332">
        <f t="shared" si="17"/>
        <v>-1.0411673398521211</v>
      </c>
      <c r="L332" t="e">
        <f t="shared" si="17"/>
        <v>#VALUE!</v>
      </c>
      <c r="M332">
        <f t="shared" si="17"/>
        <v>-1.3424629773851366</v>
      </c>
      <c r="N332">
        <f t="shared" si="17"/>
        <v>0.6288198075642587</v>
      </c>
      <c r="O332">
        <f t="shared" si="18"/>
        <v>1.0804151136903872</v>
      </c>
    </row>
    <row r="333" spans="1:15" x14ac:dyDescent="0.4">
      <c r="A333">
        <v>33.799999999999997</v>
      </c>
      <c r="B333">
        <v>4</v>
      </c>
      <c r="C333">
        <v>97</v>
      </c>
      <c r="D333" t="s">
        <v>367</v>
      </c>
      <c r="E333">
        <v>2145</v>
      </c>
      <c r="F333">
        <v>18</v>
      </c>
      <c r="G333">
        <v>80</v>
      </c>
      <c r="H333">
        <v>3</v>
      </c>
      <c r="I333" t="s">
        <v>177</v>
      </c>
      <c r="J333">
        <f t="shared" si="16"/>
        <v>-0.85632057097941794</v>
      </c>
      <c r="K333">
        <f t="shared" si="17"/>
        <v>-0.92593647294367265</v>
      </c>
      <c r="L333" t="e">
        <f t="shared" si="17"/>
        <v>#DIV/0!</v>
      </c>
      <c r="M333">
        <f t="shared" si="17"/>
        <v>-0.97593620447840712</v>
      </c>
      <c r="N333">
        <f t="shared" si="17"/>
        <v>0.88297503516820575</v>
      </c>
      <c r="O333">
        <f t="shared" si="18"/>
        <v>1.0804151136903872</v>
      </c>
    </row>
    <row r="334" spans="1:15" x14ac:dyDescent="0.4">
      <c r="A334">
        <v>29.8</v>
      </c>
      <c r="B334">
        <v>4</v>
      </c>
      <c r="C334">
        <v>89</v>
      </c>
      <c r="D334" t="s">
        <v>401</v>
      </c>
      <c r="E334">
        <v>1845</v>
      </c>
      <c r="F334">
        <v>15.3</v>
      </c>
      <c r="G334">
        <v>80</v>
      </c>
      <c r="H334">
        <v>2</v>
      </c>
      <c r="I334" t="s">
        <v>250</v>
      </c>
      <c r="J334">
        <f t="shared" si="16"/>
        <v>-0.85632057097941794</v>
      </c>
      <c r="K334">
        <f t="shared" si="17"/>
        <v>-1.0027570508826382</v>
      </c>
      <c r="L334" t="e">
        <f t="shared" si="17"/>
        <v>#DIV/0!</v>
      </c>
      <c r="M334">
        <f t="shared" si="17"/>
        <v>-1.3306395330978227</v>
      </c>
      <c r="N334">
        <f t="shared" si="17"/>
        <v>-9.7337985589876386E-2</v>
      </c>
      <c r="O334">
        <f t="shared" si="18"/>
        <v>1.0804151136903872</v>
      </c>
    </row>
    <row r="335" spans="1:15" x14ac:dyDescent="0.4">
      <c r="A335">
        <v>32.700000000000003</v>
      </c>
      <c r="B335">
        <v>6</v>
      </c>
      <c r="C335">
        <v>168</v>
      </c>
      <c r="D335" t="s">
        <v>402</v>
      </c>
      <c r="E335">
        <v>2910</v>
      </c>
      <c r="F335">
        <v>11.4</v>
      </c>
      <c r="G335">
        <v>80</v>
      </c>
      <c r="H335">
        <v>3</v>
      </c>
      <c r="I335" t="s">
        <v>251</v>
      </c>
      <c r="J335">
        <f t="shared" si="16"/>
        <v>0.3209353435276921</v>
      </c>
      <c r="K335">
        <f t="shared" si="17"/>
        <v>-0.24415384373535262</v>
      </c>
      <c r="L335" t="e">
        <f t="shared" si="17"/>
        <v>#DIV/0!</v>
      </c>
      <c r="M335">
        <f t="shared" si="17"/>
        <v>-7.1442716498897343E-2</v>
      </c>
      <c r="N335">
        <f t="shared" si="17"/>
        <v>-1.5133456822404401</v>
      </c>
      <c r="O335">
        <f t="shared" si="18"/>
        <v>1.0804151136903872</v>
      </c>
    </row>
    <row r="336" spans="1:15" x14ac:dyDescent="0.4">
      <c r="A336">
        <v>23.7</v>
      </c>
      <c r="B336">
        <v>3</v>
      </c>
      <c r="C336">
        <v>70</v>
      </c>
      <c r="D336" t="s">
        <v>337</v>
      </c>
      <c r="E336">
        <v>2420</v>
      </c>
      <c r="F336">
        <v>12.5</v>
      </c>
      <c r="G336">
        <v>80</v>
      </c>
      <c r="H336">
        <v>3</v>
      </c>
      <c r="I336" t="s">
        <v>252</v>
      </c>
      <c r="J336">
        <f t="shared" si="16"/>
        <v>-1.4449485282329728</v>
      </c>
      <c r="K336">
        <f t="shared" si="17"/>
        <v>-1.1852059234876817</v>
      </c>
      <c r="L336" t="e">
        <f t="shared" si="17"/>
        <v>#DIV/0!</v>
      </c>
      <c r="M336">
        <f t="shared" si="17"/>
        <v>-0.65079148657727615</v>
      </c>
      <c r="N336">
        <f t="shared" si="17"/>
        <v>-1.1139588960056659</v>
      </c>
      <c r="O336">
        <f t="shared" si="18"/>
        <v>1.0804151136903872</v>
      </c>
    </row>
    <row r="337" spans="1:15" x14ac:dyDescent="0.4">
      <c r="A337">
        <v>35</v>
      </c>
      <c r="B337">
        <v>4</v>
      </c>
      <c r="C337">
        <v>122</v>
      </c>
      <c r="D337" t="s">
        <v>328</v>
      </c>
      <c r="E337">
        <v>2500</v>
      </c>
      <c r="F337">
        <v>15.1</v>
      </c>
      <c r="G337">
        <v>80</v>
      </c>
      <c r="H337">
        <v>2</v>
      </c>
      <c r="I337" t="s">
        <v>253</v>
      </c>
      <c r="J337">
        <f t="shared" si="16"/>
        <v>-0.85632057097941794</v>
      </c>
      <c r="K337">
        <f t="shared" si="17"/>
        <v>-0.685872166884405</v>
      </c>
      <c r="L337" t="e">
        <f t="shared" si="17"/>
        <v>#DIV/0!</v>
      </c>
      <c r="M337">
        <f t="shared" si="17"/>
        <v>-0.5562039322787653</v>
      </c>
      <c r="N337">
        <f t="shared" si="17"/>
        <v>-0.16995376490529029</v>
      </c>
      <c r="O337">
        <f t="shared" si="18"/>
        <v>1.0804151136903872</v>
      </c>
    </row>
    <row r="338" spans="1:15" x14ac:dyDescent="0.4">
      <c r="A338">
        <v>23.6</v>
      </c>
      <c r="B338">
        <v>4</v>
      </c>
      <c r="C338">
        <v>140</v>
      </c>
      <c r="D338" t="s">
        <v>336</v>
      </c>
      <c r="E338">
        <v>2905</v>
      </c>
      <c r="F338">
        <v>14.3</v>
      </c>
      <c r="G338">
        <v>80</v>
      </c>
      <c r="H338">
        <v>1</v>
      </c>
      <c r="I338" t="s">
        <v>254</v>
      </c>
      <c r="J338">
        <f t="shared" si="16"/>
        <v>-0.85632057097941794</v>
      </c>
      <c r="K338">
        <f t="shared" si="17"/>
        <v>-0.51302586652173232</v>
      </c>
      <c r="L338" t="e">
        <f t="shared" si="17"/>
        <v>#VALUE!</v>
      </c>
      <c r="M338">
        <f t="shared" si="17"/>
        <v>-7.7354438642554271E-2</v>
      </c>
      <c r="N338">
        <f t="shared" si="17"/>
        <v>-0.46041688216694393</v>
      </c>
      <c r="O338">
        <f t="shared" si="18"/>
        <v>1.0804151136903872</v>
      </c>
    </row>
    <row r="339" spans="1:15" x14ac:dyDescent="0.4">
      <c r="A339">
        <v>32.4</v>
      </c>
      <c r="B339">
        <v>4</v>
      </c>
      <c r="C339">
        <v>107</v>
      </c>
      <c r="D339" t="s">
        <v>343</v>
      </c>
      <c r="E339">
        <v>2290</v>
      </c>
      <c r="F339">
        <v>17</v>
      </c>
      <c r="G339">
        <v>80</v>
      </c>
      <c r="H339">
        <v>3</v>
      </c>
      <c r="I339" t="s">
        <v>255</v>
      </c>
      <c r="J339">
        <f t="shared" si="16"/>
        <v>-0.85632057097941794</v>
      </c>
      <c r="K339">
        <f t="shared" si="17"/>
        <v>-0.82991075051996555</v>
      </c>
      <c r="L339" t="e">
        <f t="shared" si="17"/>
        <v>#DIV/0!</v>
      </c>
      <c r="M339">
        <f t="shared" si="17"/>
        <v>-0.80449626231235627</v>
      </c>
      <c r="N339">
        <f t="shared" si="17"/>
        <v>0.51989613859113826</v>
      </c>
      <c r="O339">
        <f t="shared" si="18"/>
        <v>1.0804151136903872</v>
      </c>
    </row>
    <row r="340" spans="1:15" x14ac:dyDescent="0.4">
      <c r="A340">
        <v>27.2</v>
      </c>
      <c r="B340">
        <v>4</v>
      </c>
      <c r="C340">
        <v>135</v>
      </c>
      <c r="D340" t="s">
        <v>403</v>
      </c>
      <c r="E340">
        <v>2490</v>
      </c>
      <c r="F340">
        <v>15.7</v>
      </c>
      <c r="G340">
        <v>81</v>
      </c>
      <c r="H340">
        <v>1</v>
      </c>
      <c r="I340" t="s">
        <v>256</v>
      </c>
      <c r="J340">
        <f t="shared" si="16"/>
        <v>-0.85632057097941794</v>
      </c>
      <c r="K340">
        <f t="shared" si="17"/>
        <v>-0.56103872773358587</v>
      </c>
      <c r="L340" t="e">
        <f t="shared" si="17"/>
        <v>#DIV/0!</v>
      </c>
      <c r="M340">
        <f t="shared" si="17"/>
        <v>-0.56802737656607916</v>
      </c>
      <c r="N340">
        <f t="shared" si="17"/>
        <v>4.789357304095012E-2</v>
      </c>
      <c r="O340">
        <f t="shared" si="18"/>
        <v>1.351199254275258</v>
      </c>
    </row>
    <row r="341" spans="1:15" x14ac:dyDescent="0.4">
      <c r="A341">
        <v>26.6</v>
      </c>
      <c r="B341">
        <v>4</v>
      </c>
      <c r="C341">
        <v>151</v>
      </c>
      <c r="D341" t="s">
        <v>403</v>
      </c>
      <c r="E341">
        <v>2635</v>
      </c>
      <c r="F341">
        <v>16.399999999999999</v>
      </c>
      <c r="G341">
        <v>81</v>
      </c>
      <c r="H341">
        <v>1</v>
      </c>
      <c r="I341" t="s">
        <v>165</v>
      </c>
      <c r="J341">
        <f t="shared" si="16"/>
        <v>-0.85632057097941794</v>
      </c>
      <c r="K341">
        <f t="shared" si="17"/>
        <v>-0.40739757185565462</v>
      </c>
      <c r="L341" t="e">
        <f t="shared" si="17"/>
        <v>#DIV/0!</v>
      </c>
      <c r="M341">
        <f t="shared" si="17"/>
        <v>-0.3965874344000283</v>
      </c>
      <c r="N341">
        <f t="shared" si="17"/>
        <v>0.30204880064489714</v>
      </c>
      <c r="O341">
        <f t="shared" si="18"/>
        <v>1.351199254275258</v>
      </c>
    </row>
    <row r="342" spans="1:15" x14ac:dyDescent="0.4">
      <c r="A342">
        <v>25.8</v>
      </c>
      <c r="B342">
        <v>4</v>
      </c>
      <c r="C342">
        <v>156</v>
      </c>
      <c r="D342" t="s">
        <v>355</v>
      </c>
      <c r="E342">
        <v>2620</v>
      </c>
      <c r="F342">
        <v>14.4</v>
      </c>
      <c r="G342">
        <v>81</v>
      </c>
      <c r="H342">
        <v>1</v>
      </c>
      <c r="I342" t="s">
        <v>257</v>
      </c>
      <c r="J342">
        <f t="shared" si="16"/>
        <v>-0.85632057097941794</v>
      </c>
      <c r="K342">
        <f t="shared" si="17"/>
        <v>-0.35938471064380106</v>
      </c>
      <c r="L342" t="e">
        <f t="shared" si="17"/>
        <v>#DIV/0!</v>
      </c>
      <c r="M342">
        <f t="shared" si="17"/>
        <v>-0.41432260083099909</v>
      </c>
      <c r="N342">
        <f t="shared" si="17"/>
        <v>-0.42410899250923734</v>
      </c>
      <c r="O342">
        <f t="shared" si="18"/>
        <v>1.351199254275258</v>
      </c>
    </row>
    <row r="343" spans="1:15" x14ac:dyDescent="0.4">
      <c r="A343">
        <v>23.5</v>
      </c>
      <c r="B343">
        <v>6</v>
      </c>
      <c r="C343">
        <v>173</v>
      </c>
      <c r="D343" t="s">
        <v>342</v>
      </c>
      <c r="E343">
        <v>2725</v>
      </c>
      <c r="F343">
        <v>12.6</v>
      </c>
      <c r="G343">
        <v>81</v>
      </c>
      <c r="H343">
        <v>1</v>
      </c>
      <c r="I343" t="s">
        <v>233</v>
      </c>
      <c r="J343">
        <f t="shared" si="16"/>
        <v>0.3209353435276921</v>
      </c>
      <c r="K343">
        <f t="shared" si="17"/>
        <v>-0.1961409825234991</v>
      </c>
      <c r="L343" t="e">
        <f t="shared" si="17"/>
        <v>#DIV/0!</v>
      </c>
      <c r="M343">
        <f t="shared" si="17"/>
        <v>-0.29017643581420366</v>
      </c>
      <c r="N343">
        <f t="shared" si="17"/>
        <v>-1.0776510063479592</v>
      </c>
      <c r="O343">
        <f t="shared" si="18"/>
        <v>1.351199254275258</v>
      </c>
    </row>
    <row r="344" spans="1:15" x14ac:dyDescent="0.4">
      <c r="A344">
        <v>30</v>
      </c>
      <c r="B344">
        <v>4</v>
      </c>
      <c r="C344">
        <v>135</v>
      </c>
      <c r="D344" t="s">
        <v>403</v>
      </c>
      <c r="E344">
        <v>2385</v>
      </c>
      <c r="F344">
        <v>12.9</v>
      </c>
      <c r="G344">
        <v>81</v>
      </c>
      <c r="H344">
        <v>1</v>
      </c>
      <c r="I344" t="s">
        <v>256</v>
      </c>
      <c r="J344">
        <f t="shared" si="16"/>
        <v>-0.85632057097941794</v>
      </c>
      <c r="K344">
        <f t="shared" si="17"/>
        <v>-0.56103872773358587</v>
      </c>
      <c r="L344" t="e">
        <f t="shared" si="17"/>
        <v>#DIV/0!</v>
      </c>
      <c r="M344">
        <f t="shared" si="17"/>
        <v>-0.6921735415828747</v>
      </c>
      <c r="N344">
        <f t="shared" si="17"/>
        <v>-0.96872733737483863</v>
      </c>
      <c r="O344">
        <f t="shared" si="18"/>
        <v>1.351199254275258</v>
      </c>
    </row>
    <row r="345" spans="1:15" x14ac:dyDescent="0.4">
      <c r="A345">
        <v>39.1</v>
      </c>
      <c r="B345">
        <v>4</v>
      </c>
      <c r="C345">
        <v>79</v>
      </c>
      <c r="D345" t="s">
        <v>387</v>
      </c>
      <c r="E345">
        <v>1755</v>
      </c>
      <c r="F345">
        <v>16.899999999999999</v>
      </c>
      <c r="G345">
        <v>81</v>
      </c>
      <c r="H345">
        <v>3</v>
      </c>
      <c r="I345" t="s">
        <v>258</v>
      </c>
      <c r="J345">
        <f t="shared" si="16"/>
        <v>-0.85632057097941794</v>
      </c>
      <c r="K345">
        <f t="shared" si="17"/>
        <v>-1.0987827733063453</v>
      </c>
      <c r="L345" t="e">
        <f t="shared" si="17"/>
        <v>#DIV/0!</v>
      </c>
      <c r="M345">
        <f t="shared" si="17"/>
        <v>-1.4370505316836475</v>
      </c>
      <c r="N345">
        <f t="shared" si="17"/>
        <v>0.48358824893343094</v>
      </c>
      <c r="O345">
        <f t="shared" si="18"/>
        <v>1.351199254275258</v>
      </c>
    </row>
    <row r="346" spans="1:15" x14ac:dyDescent="0.4">
      <c r="A346">
        <v>39</v>
      </c>
      <c r="B346">
        <v>4</v>
      </c>
      <c r="C346">
        <v>86</v>
      </c>
      <c r="D346" t="s">
        <v>404</v>
      </c>
      <c r="E346">
        <v>1875</v>
      </c>
      <c r="F346">
        <v>16.399999999999999</v>
      </c>
      <c r="G346">
        <v>81</v>
      </c>
      <c r="H346">
        <v>1</v>
      </c>
      <c r="I346" t="s">
        <v>259</v>
      </c>
      <c r="J346">
        <f t="shared" si="16"/>
        <v>-0.85632057097941794</v>
      </c>
      <c r="K346">
        <f t="shared" si="17"/>
        <v>-1.0315647676097504</v>
      </c>
      <c r="L346" t="e">
        <f t="shared" si="17"/>
        <v>#DIV/0!</v>
      </c>
      <c r="M346">
        <f t="shared" si="17"/>
        <v>-1.2951692002358812</v>
      </c>
      <c r="N346">
        <f t="shared" si="17"/>
        <v>0.30204880064489714</v>
      </c>
      <c r="O346">
        <f t="shared" si="18"/>
        <v>1.351199254275258</v>
      </c>
    </row>
    <row r="347" spans="1:15" x14ac:dyDescent="0.4">
      <c r="A347">
        <v>35.1</v>
      </c>
      <c r="B347">
        <v>4</v>
      </c>
      <c r="C347">
        <v>81</v>
      </c>
      <c r="D347" t="s">
        <v>349</v>
      </c>
      <c r="E347">
        <v>1760</v>
      </c>
      <c r="F347">
        <v>16.100000000000001</v>
      </c>
      <c r="G347">
        <v>81</v>
      </c>
      <c r="H347">
        <v>3</v>
      </c>
      <c r="I347" t="s">
        <v>260</v>
      </c>
      <c r="J347">
        <f t="shared" si="16"/>
        <v>-0.85632057097941794</v>
      </c>
      <c r="K347">
        <f t="shared" si="17"/>
        <v>-1.0795776288216039</v>
      </c>
      <c r="L347" t="e">
        <f t="shared" si="17"/>
        <v>#DIV/0!</v>
      </c>
      <c r="M347">
        <f t="shared" si="17"/>
        <v>-1.4311388095399904</v>
      </c>
      <c r="N347">
        <f t="shared" si="17"/>
        <v>0.19312513167177792</v>
      </c>
      <c r="O347">
        <f t="shared" si="18"/>
        <v>1.351199254275258</v>
      </c>
    </row>
    <row r="348" spans="1:15" x14ac:dyDescent="0.4">
      <c r="A348">
        <v>32.299999999999997</v>
      </c>
      <c r="B348">
        <v>4</v>
      </c>
      <c r="C348">
        <v>97</v>
      </c>
      <c r="D348" t="s">
        <v>367</v>
      </c>
      <c r="E348">
        <v>2065</v>
      </c>
      <c r="F348">
        <v>17.8</v>
      </c>
      <c r="G348">
        <v>81</v>
      </c>
      <c r="H348">
        <v>3</v>
      </c>
      <c r="I348" t="s">
        <v>119</v>
      </c>
      <c r="J348">
        <f t="shared" si="16"/>
        <v>-0.85632057097941794</v>
      </c>
      <c r="K348">
        <f t="shared" si="17"/>
        <v>-0.92593647294367265</v>
      </c>
      <c r="L348" t="e">
        <f t="shared" si="17"/>
        <v>#DIV/0!</v>
      </c>
      <c r="M348">
        <f t="shared" si="17"/>
        <v>-1.0705237587769179</v>
      </c>
      <c r="N348">
        <f t="shared" si="17"/>
        <v>0.81035925585279256</v>
      </c>
      <c r="O348">
        <f t="shared" si="18"/>
        <v>1.351199254275258</v>
      </c>
    </row>
    <row r="349" spans="1:15" x14ac:dyDescent="0.4">
      <c r="A349">
        <v>37</v>
      </c>
      <c r="B349">
        <v>4</v>
      </c>
      <c r="C349">
        <v>85</v>
      </c>
      <c r="D349" t="s">
        <v>347</v>
      </c>
      <c r="E349">
        <v>1975</v>
      </c>
      <c r="F349">
        <v>19.399999999999999</v>
      </c>
      <c r="G349">
        <v>81</v>
      </c>
      <c r="H349">
        <v>3</v>
      </c>
      <c r="I349" t="s">
        <v>261</v>
      </c>
      <c r="J349">
        <f t="shared" si="16"/>
        <v>-0.85632057097941794</v>
      </c>
      <c r="K349">
        <f t="shared" si="17"/>
        <v>-1.0411673398521211</v>
      </c>
      <c r="L349" t="e">
        <f t="shared" si="17"/>
        <v>#DIV/0!</v>
      </c>
      <c r="M349">
        <f t="shared" si="17"/>
        <v>-1.1769347573627427</v>
      </c>
      <c r="N349">
        <f t="shared" si="17"/>
        <v>1.3912854903760998</v>
      </c>
      <c r="O349">
        <f t="shared" si="18"/>
        <v>1.351199254275258</v>
      </c>
    </row>
    <row r="350" spans="1:15" x14ac:dyDescent="0.4">
      <c r="A350">
        <v>37.700000000000003</v>
      </c>
      <c r="B350">
        <v>4</v>
      </c>
      <c r="C350">
        <v>89</v>
      </c>
      <c r="D350" t="s">
        <v>401</v>
      </c>
      <c r="E350">
        <v>2050</v>
      </c>
      <c r="F350">
        <v>17.3</v>
      </c>
      <c r="G350">
        <v>81</v>
      </c>
      <c r="H350">
        <v>3</v>
      </c>
      <c r="I350" t="s">
        <v>262</v>
      </c>
      <c r="J350">
        <f t="shared" si="16"/>
        <v>-0.85632057097941794</v>
      </c>
      <c r="K350">
        <f t="shared" si="17"/>
        <v>-1.0027570508826382</v>
      </c>
      <c r="L350" t="e">
        <f t="shared" si="17"/>
        <v>#DIV/0!</v>
      </c>
      <c r="M350">
        <f t="shared" si="17"/>
        <v>-1.0882589252078887</v>
      </c>
      <c r="N350">
        <f t="shared" si="17"/>
        <v>0.6288198075642587</v>
      </c>
      <c r="O350">
        <f t="shared" si="18"/>
        <v>1.351199254275258</v>
      </c>
    </row>
    <row r="351" spans="1:15" x14ac:dyDescent="0.4">
      <c r="A351">
        <v>34.1</v>
      </c>
      <c r="B351">
        <v>4</v>
      </c>
      <c r="C351">
        <v>91</v>
      </c>
      <c r="D351" t="s">
        <v>386</v>
      </c>
      <c r="E351">
        <v>1985</v>
      </c>
      <c r="F351">
        <v>16</v>
      </c>
      <c r="G351">
        <v>81</v>
      </c>
      <c r="H351">
        <v>3</v>
      </c>
      <c r="I351" t="s">
        <v>263</v>
      </c>
      <c r="J351">
        <f t="shared" si="16"/>
        <v>-0.85632057097941794</v>
      </c>
      <c r="K351">
        <f t="shared" si="17"/>
        <v>-0.98355190639789691</v>
      </c>
      <c r="L351" t="e">
        <f t="shared" si="17"/>
        <v>#DIV/0!</v>
      </c>
      <c r="M351">
        <f t="shared" si="17"/>
        <v>-1.1651113130754287</v>
      </c>
      <c r="N351">
        <f t="shared" si="17"/>
        <v>0.15681724201407066</v>
      </c>
      <c r="O351">
        <f t="shared" si="18"/>
        <v>1.351199254275258</v>
      </c>
    </row>
    <row r="352" spans="1:15" x14ac:dyDescent="0.4">
      <c r="A352">
        <v>34.700000000000003</v>
      </c>
      <c r="B352">
        <v>4</v>
      </c>
      <c r="C352">
        <v>105</v>
      </c>
      <c r="D352" t="s">
        <v>390</v>
      </c>
      <c r="E352">
        <v>2215</v>
      </c>
      <c r="F352">
        <v>14.9</v>
      </c>
      <c r="G352">
        <v>81</v>
      </c>
      <c r="H352">
        <v>1</v>
      </c>
      <c r="I352" t="s">
        <v>264</v>
      </c>
      <c r="J352">
        <f t="shared" si="16"/>
        <v>-0.85632057097941794</v>
      </c>
      <c r="K352">
        <f t="shared" si="17"/>
        <v>-0.84911589500470697</v>
      </c>
      <c r="L352" t="e">
        <f t="shared" si="17"/>
        <v>#DIV/0!</v>
      </c>
      <c r="M352">
        <f t="shared" si="17"/>
        <v>-0.89317209446721013</v>
      </c>
      <c r="N352">
        <f t="shared" si="17"/>
        <v>-0.24256954422070354</v>
      </c>
      <c r="O352">
        <f t="shared" si="18"/>
        <v>1.351199254275258</v>
      </c>
    </row>
    <row r="353" spans="1:15" x14ac:dyDescent="0.4">
      <c r="A353">
        <v>34.4</v>
      </c>
      <c r="B353">
        <v>4</v>
      </c>
      <c r="C353">
        <v>98</v>
      </c>
      <c r="D353" t="s">
        <v>347</v>
      </c>
      <c r="E353">
        <v>2045</v>
      </c>
      <c r="F353">
        <v>16.2</v>
      </c>
      <c r="G353">
        <v>81</v>
      </c>
      <c r="H353">
        <v>1</v>
      </c>
      <c r="I353" t="s">
        <v>265</v>
      </c>
      <c r="J353">
        <f t="shared" si="16"/>
        <v>-0.85632057097941794</v>
      </c>
      <c r="K353">
        <f t="shared" si="17"/>
        <v>-0.91633390070130194</v>
      </c>
      <c r="L353" t="e">
        <f t="shared" si="17"/>
        <v>#DIV/0!</v>
      </c>
      <c r="M353">
        <f t="shared" si="17"/>
        <v>-1.0941706473515456</v>
      </c>
      <c r="N353">
        <f t="shared" si="17"/>
        <v>0.2294330213294839</v>
      </c>
      <c r="O353">
        <f t="shared" si="18"/>
        <v>1.351199254275258</v>
      </c>
    </row>
    <row r="354" spans="1:15" x14ac:dyDescent="0.4">
      <c r="A354">
        <v>29.9</v>
      </c>
      <c r="B354">
        <v>4</v>
      </c>
      <c r="C354">
        <v>98</v>
      </c>
      <c r="D354" t="s">
        <v>347</v>
      </c>
      <c r="E354">
        <v>2380</v>
      </c>
      <c r="F354">
        <v>20.7</v>
      </c>
      <c r="G354">
        <v>81</v>
      </c>
      <c r="H354">
        <v>1</v>
      </c>
      <c r="I354" t="s">
        <v>266</v>
      </c>
      <c r="J354">
        <f t="shared" si="16"/>
        <v>-0.85632057097941794</v>
      </c>
      <c r="K354">
        <f t="shared" si="17"/>
        <v>-0.91633390070130194</v>
      </c>
      <c r="L354" t="e">
        <f t="shared" si="17"/>
        <v>#DIV/0!</v>
      </c>
      <c r="M354">
        <f t="shared" si="17"/>
        <v>-0.69808526372653157</v>
      </c>
      <c r="N354">
        <f t="shared" si="17"/>
        <v>1.8632880559262879</v>
      </c>
      <c r="O354">
        <f t="shared" si="18"/>
        <v>1.351199254275258</v>
      </c>
    </row>
    <row r="355" spans="1:15" x14ac:dyDescent="0.4">
      <c r="A355">
        <v>33</v>
      </c>
      <c r="B355">
        <v>4</v>
      </c>
      <c r="C355">
        <v>105</v>
      </c>
      <c r="D355" t="s">
        <v>405</v>
      </c>
      <c r="E355">
        <v>2190</v>
      </c>
      <c r="F355">
        <v>14.2</v>
      </c>
      <c r="G355">
        <v>81</v>
      </c>
      <c r="H355">
        <v>2</v>
      </c>
      <c r="I355" t="s">
        <v>267</v>
      </c>
      <c r="J355">
        <f t="shared" si="16"/>
        <v>-0.85632057097941794</v>
      </c>
      <c r="K355">
        <f t="shared" si="17"/>
        <v>-0.84911589500470697</v>
      </c>
      <c r="L355" t="e">
        <f t="shared" si="17"/>
        <v>#DIV/0!</v>
      </c>
      <c r="M355">
        <f t="shared" si="17"/>
        <v>-0.92273070518549483</v>
      </c>
      <c r="N355">
        <f t="shared" si="17"/>
        <v>-0.49672477182465125</v>
      </c>
      <c r="O355">
        <f t="shared" si="18"/>
        <v>1.351199254275258</v>
      </c>
    </row>
    <row r="356" spans="1:15" x14ac:dyDescent="0.4">
      <c r="A356">
        <v>34.5</v>
      </c>
      <c r="B356">
        <v>4</v>
      </c>
      <c r="C356">
        <v>100</v>
      </c>
      <c r="D356" t="s">
        <v>336</v>
      </c>
      <c r="E356">
        <v>2320</v>
      </c>
      <c r="F356">
        <v>15.8</v>
      </c>
      <c r="G356">
        <v>81</v>
      </c>
      <c r="H356">
        <v>2</v>
      </c>
      <c r="I356" t="s">
        <v>268</v>
      </c>
      <c r="J356">
        <f t="shared" si="16"/>
        <v>-0.85632057097941794</v>
      </c>
      <c r="K356">
        <f t="shared" si="17"/>
        <v>-0.89712875621656052</v>
      </c>
      <c r="L356" t="e">
        <f t="shared" si="17"/>
        <v>#VALUE!</v>
      </c>
      <c r="M356">
        <f t="shared" si="17"/>
        <v>-0.7690259294504147</v>
      </c>
      <c r="N356">
        <f t="shared" si="17"/>
        <v>8.4201462698657387E-2</v>
      </c>
      <c r="O356">
        <f t="shared" si="18"/>
        <v>1.351199254275258</v>
      </c>
    </row>
    <row r="357" spans="1:15" x14ac:dyDescent="0.4">
      <c r="A357">
        <v>33.700000000000003</v>
      </c>
      <c r="B357">
        <v>4</v>
      </c>
      <c r="C357">
        <v>107</v>
      </c>
      <c r="D357" t="s">
        <v>364</v>
      </c>
      <c r="E357">
        <v>2210</v>
      </c>
      <c r="F357">
        <v>14.4</v>
      </c>
      <c r="G357">
        <v>81</v>
      </c>
      <c r="H357">
        <v>3</v>
      </c>
      <c r="I357" t="s">
        <v>269</v>
      </c>
      <c r="J357">
        <f t="shared" si="16"/>
        <v>-0.85632057097941794</v>
      </c>
      <c r="K357">
        <f t="shared" si="17"/>
        <v>-0.82991075051996555</v>
      </c>
      <c r="L357" t="e">
        <f t="shared" si="17"/>
        <v>#DIV/0!</v>
      </c>
      <c r="M357">
        <f t="shared" si="17"/>
        <v>-0.89908381661086711</v>
      </c>
      <c r="N357">
        <f t="shared" si="17"/>
        <v>-0.42410899250923734</v>
      </c>
      <c r="O357">
        <f t="shared" si="18"/>
        <v>1.351199254275258</v>
      </c>
    </row>
    <row r="358" spans="1:15" x14ac:dyDescent="0.4">
      <c r="A358">
        <v>32.4</v>
      </c>
      <c r="B358">
        <v>4</v>
      </c>
      <c r="C358">
        <v>108</v>
      </c>
      <c r="D358" t="s">
        <v>364</v>
      </c>
      <c r="E358">
        <v>2350</v>
      </c>
      <c r="F358">
        <v>16.8</v>
      </c>
      <c r="G358">
        <v>81</v>
      </c>
      <c r="H358">
        <v>3</v>
      </c>
      <c r="I358" t="s">
        <v>131</v>
      </c>
      <c r="J358">
        <f t="shared" si="16"/>
        <v>-0.85632057097941794</v>
      </c>
      <c r="K358">
        <f t="shared" si="17"/>
        <v>-0.82030817827759495</v>
      </c>
      <c r="L358" t="e">
        <f t="shared" si="17"/>
        <v>#DIV/0!</v>
      </c>
      <c r="M358">
        <f t="shared" si="17"/>
        <v>-0.73355559658847314</v>
      </c>
      <c r="N358">
        <f t="shared" si="17"/>
        <v>0.44728035927572496</v>
      </c>
      <c r="O358">
        <f t="shared" si="18"/>
        <v>1.351199254275258</v>
      </c>
    </row>
    <row r="359" spans="1:15" x14ac:dyDescent="0.4">
      <c r="A359">
        <v>32.9</v>
      </c>
      <c r="B359">
        <v>4</v>
      </c>
      <c r="C359">
        <v>119</v>
      </c>
      <c r="D359" t="s">
        <v>337</v>
      </c>
      <c r="E359">
        <v>2615</v>
      </c>
      <c r="F359">
        <v>14.8</v>
      </c>
      <c r="G359">
        <v>81</v>
      </c>
      <c r="H359">
        <v>3</v>
      </c>
      <c r="I359" t="s">
        <v>270</v>
      </c>
      <c r="J359">
        <f t="shared" si="16"/>
        <v>-0.85632057097941794</v>
      </c>
      <c r="K359">
        <f t="shared" si="17"/>
        <v>-0.71467988361151713</v>
      </c>
      <c r="L359" t="e">
        <f t="shared" si="17"/>
        <v>#DIV/0!</v>
      </c>
      <c r="M359">
        <f t="shared" si="17"/>
        <v>-0.42023432297465602</v>
      </c>
      <c r="N359">
        <f t="shared" si="17"/>
        <v>-0.27887743387841019</v>
      </c>
      <c r="O359">
        <f t="shared" si="18"/>
        <v>1.351199254275258</v>
      </c>
    </row>
    <row r="360" spans="1:15" x14ac:dyDescent="0.4">
      <c r="A360">
        <v>31.6</v>
      </c>
      <c r="B360">
        <v>4</v>
      </c>
      <c r="C360">
        <v>120</v>
      </c>
      <c r="D360" t="s">
        <v>405</v>
      </c>
      <c r="E360">
        <v>2635</v>
      </c>
      <c r="F360">
        <v>18.3</v>
      </c>
      <c r="G360">
        <v>81</v>
      </c>
      <c r="H360">
        <v>3</v>
      </c>
      <c r="I360" t="s">
        <v>241</v>
      </c>
      <c r="J360">
        <f t="shared" si="16"/>
        <v>-0.85632057097941794</v>
      </c>
      <c r="K360">
        <f t="shared" si="17"/>
        <v>-0.70507731136914642</v>
      </c>
      <c r="L360" t="e">
        <f t="shared" si="17"/>
        <v>#DIV/0!</v>
      </c>
      <c r="M360">
        <f t="shared" si="17"/>
        <v>-0.3965874344000283</v>
      </c>
      <c r="N360">
        <f t="shared" si="17"/>
        <v>0.9918987041413263</v>
      </c>
      <c r="O360">
        <f t="shared" si="18"/>
        <v>1.351199254275258</v>
      </c>
    </row>
    <row r="361" spans="1:15" x14ac:dyDescent="0.4">
      <c r="A361">
        <v>28.1</v>
      </c>
      <c r="B361">
        <v>4</v>
      </c>
      <c r="C361">
        <v>141</v>
      </c>
      <c r="D361" t="s">
        <v>350</v>
      </c>
      <c r="E361">
        <v>3230</v>
      </c>
      <c r="F361">
        <v>20.399999999999999</v>
      </c>
      <c r="G361">
        <v>81</v>
      </c>
      <c r="H361">
        <v>2</v>
      </c>
      <c r="I361" t="s">
        <v>271</v>
      </c>
      <c r="J361">
        <f t="shared" si="16"/>
        <v>-0.85632057097941794</v>
      </c>
      <c r="K361">
        <f t="shared" si="17"/>
        <v>-0.50342329427936161</v>
      </c>
      <c r="L361" t="e">
        <f t="shared" si="17"/>
        <v>#DIV/0!</v>
      </c>
      <c r="M361">
        <f t="shared" si="17"/>
        <v>0.30690750069514594</v>
      </c>
      <c r="N361">
        <f t="shared" si="17"/>
        <v>1.7543643869531673</v>
      </c>
      <c r="O361">
        <f t="shared" si="18"/>
        <v>1.351199254275258</v>
      </c>
    </row>
    <row r="362" spans="1:15" x14ac:dyDescent="0.4">
      <c r="A362">
        <v>30.7</v>
      </c>
      <c r="B362">
        <v>6</v>
      </c>
      <c r="C362">
        <v>145</v>
      </c>
      <c r="D362" t="s">
        <v>346</v>
      </c>
      <c r="E362">
        <v>3160</v>
      </c>
      <c r="F362">
        <v>19.600000000000001</v>
      </c>
      <c r="G362">
        <v>81</v>
      </c>
      <c r="H362">
        <v>2</v>
      </c>
      <c r="I362" t="s">
        <v>272</v>
      </c>
      <c r="J362">
        <f t="shared" si="16"/>
        <v>0.3209353435276921</v>
      </c>
      <c r="K362">
        <f t="shared" si="17"/>
        <v>-0.46501300530987882</v>
      </c>
      <c r="L362" t="e">
        <f t="shared" si="17"/>
        <v>#DIV/0!</v>
      </c>
      <c r="M362">
        <f t="shared" si="17"/>
        <v>0.22414339068394898</v>
      </c>
      <c r="N362">
        <f t="shared" si="17"/>
        <v>1.4639012696915144</v>
      </c>
      <c r="O362">
        <f t="shared" si="18"/>
        <v>1.351199254275258</v>
      </c>
    </row>
    <row r="363" spans="1:15" x14ac:dyDescent="0.4">
      <c r="A363">
        <v>25.4</v>
      </c>
      <c r="B363">
        <v>6</v>
      </c>
      <c r="C363">
        <v>168</v>
      </c>
      <c r="D363" t="s">
        <v>406</v>
      </c>
      <c r="E363">
        <v>2900</v>
      </c>
      <c r="F363">
        <v>12.6</v>
      </c>
      <c r="G363">
        <v>81</v>
      </c>
      <c r="H363">
        <v>3</v>
      </c>
      <c r="I363" t="s">
        <v>273</v>
      </c>
      <c r="J363">
        <f t="shared" si="16"/>
        <v>0.3209353435276921</v>
      </c>
      <c r="K363">
        <f t="shared" si="17"/>
        <v>-0.24415384373535262</v>
      </c>
      <c r="L363" t="e">
        <f t="shared" si="17"/>
        <v>#DIV/0!</v>
      </c>
      <c r="M363">
        <f t="shared" si="17"/>
        <v>-8.3266160786211199E-2</v>
      </c>
      <c r="N363">
        <f t="shared" si="17"/>
        <v>-1.0776510063479592</v>
      </c>
      <c r="O363">
        <f t="shared" si="18"/>
        <v>1.351199254275258</v>
      </c>
    </row>
    <row r="364" spans="1:15" x14ac:dyDescent="0.4">
      <c r="A364">
        <v>24.2</v>
      </c>
      <c r="B364">
        <v>6</v>
      </c>
      <c r="C364">
        <v>146</v>
      </c>
      <c r="D364" t="s">
        <v>382</v>
      </c>
      <c r="E364">
        <v>2930</v>
      </c>
      <c r="F364">
        <v>13.8</v>
      </c>
      <c r="G364">
        <v>81</v>
      </c>
      <c r="H364">
        <v>3</v>
      </c>
      <c r="I364" t="s">
        <v>274</v>
      </c>
      <c r="J364">
        <f t="shared" si="16"/>
        <v>0.3209353435276921</v>
      </c>
      <c r="K364">
        <f t="shared" si="17"/>
        <v>-0.45541043306750811</v>
      </c>
      <c r="L364" t="e">
        <f t="shared" si="17"/>
        <v>#DIV/0!</v>
      </c>
      <c r="M364">
        <f t="shared" si="17"/>
        <v>-4.7795827924269646E-2</v>
      </c>
      <c r="N364">
        <f t="shared" si="17"/>
        <v>-0.64195633045547773</v>
      </c>
      <c r="O364">
        <f t="shared" si="18"/>
        <v>1.351199254275258</v>
      </c>
    </row>
    <row r="365" spans="1:15" x14ac:dyDescent="0.4">
      <c r="A365">
        <v>22.4</v>
      </c>
      <c r="B365">
        <v>6</v>
      </c>
      <c r="C365">
        <v>231</v>
      </c>
      <c r="D365" t="s">
        <v>342</v>
      </c>
      <c r="E365">
        <v>3415</v>
      </c>
      <c r="F365">
        <v>15.8</v>
      </c>
      <c r="G365">
        <v>81</v>
      </c>
      <c r="H365">
        <v>1</v>
      </c>
      <c r="I365" t="s">
        <v>125</v>
      </c>
      <c r="J365">
        <f t="shared" si="16"/>
        <v>0.3209353435276921</v>
      </c>
      <c r="K365">
        <f t="shared" si="17"/>
        <v>0.36080820753400178</v>
      </c>
      <c r="L365" t="e">
        <f t="shared" si="17"/>
        <v>#DIV/0!</v>
      </c>
      <c r="M365">
        <f t="shared" si="17"/>
        <v>0.52564122001045221</v>
      </c>
      <c r="N365">
        <f t="shared" si="17"/>
        <v>8.4201462698657387E-2</v>
      </c>
      <c r="O365">
        <f t="shared" si="18"/>
        <v>1.351199254275258</v>
      </c>
    </row>
    <row r="366" spans="1:15" x14ac:dyDescent="0.4">
      <c r="A366">
        <v>26.6</v>
      </c>
      <c r="B366">
        <v>8</v>
      </c>
      <c r="C366">
        <v>350</v>
      </c>
      <c r="D366" t="s">
        <v>338</v>
      </c>
      <c r="E366">
        <v>3725</v>
      </c>
      <c r="F366">
        <v>19</v>
      </c>
      <c r="G366">
        <v>81</v>
      </c>
      <c r="H366">
        <v>1</v>
      </c>
      <c r="I366" t="s">
        <v>275</v>
      </c>
      <c r="J366">
        <f t="shared" si="16"/>
        <v>1.498191258034802</v>
      </c>
      <c r="K366">
        <f t="shared" si="17"/>
        <v>1.5035143043761157</v>
      </c>
      <c r="L366" t="e">
        <f t="shared" si="17"/>
        <v>#DIV/0!</v>
      </c>
      <c r="M366">
        <f t="shared" si="17"/>
        <v>0.89216799291718174</v>
      </c>
      <c r="N366">
        <f t="shared" si="17"/>
        <v>1.2460539317452732</v>
      </c>
      <c r="O366">
        <f t="shared" si="18"/>
        <v>1.351199254275258</v>
      </c>
    </row>
    <row r="367" spans="1:15" x14ac:dyDescent="0.4">
      <c r="A367">
        <v>20.2</v>
      </c>
      <c r="B367">
        <v>6</v>
      </c>
      <c r="C367">
        <v>200</v>
      </c>
      <c r="D367" t="s">
        <v>328</v>
      </c>
      <c r="E367">
        <v>3060</v>
      </c>
      <c r="F367">
        <v>17.100000000000001</v>
      </c>
      <c r="G367">
        <v>81</v>
      </c>
      <c r="H367">
        <v>1</v>
      </c>
      <c r="I367" t="s">
        <v>276</v>
      </c>
      <c r="J367">
        <f t="shared" si="16"/>
        <v>0.3209353435276921</v>
      </c>
      <c r="K367">
        <f t="shared" si="17"/>
        <v>6.312846802050992E-2</v>
      </c>
      <c r="L367" t="e">
        <f t="shared" si="17"/>
        <v>#DIV/0!</v>
      </c>
      <c r="M367">
        <f t="shared" si="17"/>
        <v>0.10590894781081045</v>
      </c>
      <c r="N367">
        <f t="shared" si="17"/>
        <v>0.55620402824884552</v>
      </c>
      <c r="O367">
        <f t="shared" si="18"/>
        <v>1.351199254275258</v>
      </c>
    </row>
    <row r="368" spans="1:15" x14ac:dyDescent="0.4">
      <c r="A368">
        <v>17.600000000000001</v>
      </c>
      <c r="B368">
        <v>6</v>
      </c>
      <c r="C368">
        <v>225</v>
      </c>
      <c r="D368" t="s">
        <v>327</v>
      </c>
      <c r="E368">
        <v>3465</v>
      </c>
      <c r="F368">
        <v>16.600000000000001</v>
      </c>
      <c r="G368">
        <v>81</v>
      </c>
      <c r="H368">
        <v>1</v>
      </c>
      <c r="I368" t="s">
        <v>277</v>
      </c>
      <c r="J368">
        <f t="shared" si="16"/>
        <v>0.3209353435276921</v>
      </c>
      <c r="K368">
        <f t="shared" si="17"/>
        <v>0.30319277407977752</v>
      </c>
      <c r="L368" t="e">
        <f t="shared" si="17"/>
        <v>#DIV/0!</v>
      </c>
      <c r="M368">
        <f t="shared" si="17"/>
        <v>0.58475844144702149</v>
      </c>
      <c r="N368">
        <f t="shared" si="17"/>
        <v>0.37466457996031172</v>
      </c>
      <c r="O368">
        <f t="shared" si="18"/>
        <v>1.351199254275258</v>
      </c>
    </row>
    <row r="369" spans="1:15" x14ac:dyDescent="0.4">
      <c r="A369">
        <v>28</v>
      </c>
      <c r="B369">
        <v>4</v>
      </c>
      <c r="C369">
        <v>112</v>
      </c>
      <c r="D369" t="s">
        <v>328</v>
      </c>
      <c r="E369">
        <v>2605</v>
      </c>
      <c r="F369">
        <v>19.600000000000001</v>
      </c>
      <c r="G369">
        <v>82</v>
      </c>
      <c r="H369">
        <v>1</v>
      </c>
      <c r="I369" t="s">
        <v>278</v>
      </c>
      <c r="J369">
        <f t="shared" si="16"/>
        <v>-0.85632057097941794</v>
      </c>
      <c r="K369">
        <f t="shared" si="17"/>
        <v>-0.7818978893081121</v>
      </c>
      <c r="L369" t="e">
        <f t="shared" si="17"/>
        <v>#DIV/0!</v>
      </c>
      <c r="M369">
        <f t="shared" si="17"/>
        <v>-0.43205776726196987</v>
      </c>
      <c r="N369">
        <f t="shared" si="17"/>
        <v>1.4639012696915144</v>
      </c>
      <c r="O369">
        <f t="shared" si="18"/>
        <v>1.6219833948601288</v>
      </c>
    </row>
    <row r="370" spans="1:15" x14ac:dyDescent="0.4">
      <c r="A370">
        <v>27</v>
      </c>
      <c r="B370">
        <v>4</v>
      </c>
      <c r="C370">
        <v>112</v>
      </c>
      <c r="D370" t="s">
        <v>328</v>
      </c>
      <c r="E370">
        <v>2640</v>
      </c>
      <c r="F370">
        <v>18.600000000000001</v>
      </c>
      <c r="G370">
        <v>82</v>
      </c>
      <c r="H370">
        <v>1</v>
      </c>
      <c r="I370" t="s">
        <v>279</v>
      </c>
      <c r="J370">
        <f t="shared" si="16"/>
        <v>-0.85632057097941794</v>
      </c>
      <c r="K370">
        <f t="shared" si="17"/>
        <v>-0.7818978893081121</v>
      </c>
      <c r="L370" t="e">
        <f t="shared" si="17"/>
        <v>#DIV/0!</v>
      </c>
      <c r="M370">
        <f t="shared" si="17"/>
        <v>-0.39067571225637138</v>
      </c>
      <c r="N370">
        <f t="shared" si="17"/>
        <v>1.1008223731144469</v>
      </c>
      <c r="O370">
        <f t="shared" si="18"/>
        <v>1.6219833948601288</v>
      </c>
    </row>
    <row r="371" spans="1:15" x14ac:dyDescent="0.4">
      <c r="A371">
        <v>34</v>
      </c>
      <c r="B371">
        <v>4</v>
      </c>
      <c r="C371">
        <v>112</v>
      </c>
      <c r="D371" t="s">
        <v>328</v>
      </c>
      <c r="E371">
        <v>2395</v>
      </c>
      <c r="F371">
        <v>18</v>
      </c>
      <c r="G371">
        <v>82</v>
      </c>
      <c r="H371">
        <v>1</v>
      </c>
      <c r="I371" t="s">
        <v>280</v>
      </c>
      <c r="J371">
        <f t="shared" si="16"/>
        <v>-0.85632057097941794</v>
      </c>
      <c r="K371">
        <f t="shared" si="17"/>
        <v>-0.7818978893081121</v>
      </c>
      <c r="L371" t="e">
        <f t="shared" si="17"/>
        <v>#DIV/0!</v>
      </c>
      <c r="M371">
        <f t="shared" si="17"/>
        <v>-0.68035009729556084</v>
      </c>
      <c r="N371">
        <f t="shared" si="17"/>
        <v>0.88297503516820575</v>
      </c>
      <c r="O371">
        <f t="shared" si="18"/>
        <v>1.6219833948601288</v>
      </c>
    </row>
    <row r="372" spans="1:15" x14ac:dyDescent="0.4">
      <c r="A372">
        <v>31</v>
      </c>
      <c r="B372">
        <v>4</v>
      </c>
      <c r="C372">
        <v>112</v>
      </c>
      <c r="D372" t="s">
        <v>327</v>
      </c>
      <c r="E372">
        <v>2575</v>
      </c>
      <c r="F372">
        <v>16.2</v>
      </c>
      <c r="G372">
        <v>82</v>
      </c>
      <c r="H372">
        <v>1</v>
      </c>
      <c r="I372" t="s">
        <v>281</v>
      </c>
      <c r="J372">
        <f t="shared" si="16"/>
        <v>-0.85632057097941794</v>
      </c>
      <c r="K372">
        <f t="shared" si="17"/>
        <v>-0.7818978893081121</v>
      </c>
      <c r="L372" t="e">
        <f t="shared" si="17"/>
        <v>#DIV/0!</v>
      </c>
      <c r="M372">
        <f t="shared" si="17"/>
        <v>-0.46752810012391144</v>
      </c>
      <c r="N372">
        <f t="shared" si="17"/>
        <v>0.2294330213294839</v>
      </c>
      <c r="O372">
        <f t="shared" si="18"/>
        <v>1.6219833948601288</v>
      </c>
    </row>
    <row r="373" spans="1:15" x14ac:dyDescent="0.4">
      <c r="A373">
        <v>29</v>
      </c>
      <c r="B373">
        <v>4</v>
      </c>
      <c r="C373">
        <v>135</v>
      </c>
      <c r="D373" t="s">
        <v>403</v>
      </c>
      <c r="E373">
        <v>2525</v>
      </c>
      <c r="F373">
        <v>16</v>
      </c>
      <c r="G373">
        <v>82</v>
      </c>
      <c r="H373">
        <v>1</v>
      </c>
      <c r="I373" t="s">
        <v>282</v>
      </c>
      <c r="J373">
        <f t="shared" si="16"/>
        <v>-0.85632057097941794</v>
      </c>
      <c r="K373">
        <f t="shared" si="17"/>
        <v>-0.56103872773358587</v>
      </c>
      <c r="L373" t="e">
        <f t="shared" si="17"/>
        <v>#DIV/0!</v>
      </c>
      <c r="M373">
        <f t="shared" si="17"/>
        <v>-0.52664532156048072</v>
      </c>
      <c r="N373">
        <f t="shared" si="17"/>
        <v>0.15681724201407066</v>
      </c>
      <c r="O373">
        <f t="shared" si="18"/>
        <v>1.6219833948601288</v>
      </c>
    </row>
    <row r="374" spans="1:15" x14ac:dyDescent="0.4">
      <c r="A374">
        <v>27</v>
      </c>
      <c r="B374">
        <v>4</v>
      </c>
      <c r="C374">
        <v>151</v>
      </c>
      <c r="D374" t="s">
        <v>331</v>
      </c>
      <c r="E374">
        <v>2735</v>
      </c>
      <c r="F374">
        <v>18</v>
      </c>
      <c r="G374">
        <v>82</v>
      </c>
      <c r="H374">
        <v>1</v>
      </c>
      <c r="I374" t="s">
        <v>235</v>
      </c>
      <c r="J374">
        <f t="shared" si="16"/>
        <v>-0.85632057097941794</v>
      </c>
      <c r="K374">
        <f t="shared" si="17"/>
        <v>-0.40739757185565462</v>
      </c>
      <c r="L374" t="e">
        <f t="shared" si="17"/>
        <v>#DIV/0!</v>
      </c>
      <c r="M374">
        <f t="shared" si="17"/>
        <v>-0.2783529915268898</v>
      </c>
      <c r="N374">
        <f t="shared" si="17"/>
        <v>0.88297503516820575</v>
      </c>
      <c r="O374">
        <f t="shared" si="18"/>
        <v>1.6219833948601288</v>
      </c>
    </row>
    <row r="375" spans="1:15" x14ac:dyDescent="0.4">
      <c r="A375">
        <v>24</v>
      </c>
      <c r="B375">
        <v>4</v>
      </c>
      <c r="C375">
        <v>140</v>
      </c>
      <c r="D375" t="s">
        <v>355</v>
      </c>
      <c r="E375">
        <v>2865</v>
      </c>
      <c r="F375">
        <v>16.399999999999999</v>
      </c>
      <c r="G375">
        <v>82</v>
      </c>
      <c r="H375">
        <v>1</v>
      </c>
      <c r="I375" t="s">
        <v>283</v>
      </c>
      <c r="J375">
        <f t="shared" si="16"/>
        <v>-0.85632057097941794</v>
      </c>
      <c r="K375">
        <f t="shared" si="17"/>
        <v>-0.51302586652173232</v>
      </c>
      <c r="L375" t="e">
        <f t="shared" si="17"/>
        <v>#DIV/0!</v>
      </c>
      <c r="M375">
        <f t="shared" si="17"/>
        <v>-0.12464821579180969</v>
      </c>
      <c r="N375">
        <f t="shared" si="17"/>
        <v>0.30204880064489714</v>
      </c>
      <c r="O375">
        <f t="shared" si="18"/>
        <v>1.6219833948601288</v>
      </c>
    </row>
    <row r="376" spans="1:15" x14ac:dyDescent="0.4">
      <c r="A376">
        <v>23</v>
      </c>
      <c r="B376">
        <v>4</v>
      </c>
      <c r="C376">
        <v>151</v>
      </c>
      <c r="D376" t="s">
        <v>336</v>
      </c>
      <c r="E376">
        <v>3035</v>
      </c>
      <c r="F376">
        <v>20.5</v>
      </c>
      <c r="G376">
        <v>82</v>
      </c>
      <c r="H376">
        <v>1</v>
      </c>
      <c r="I376" t="s">
        <v>284</v>
      </c>
      <c r="J376">
        <f t="shared" si="16"/>
        <v>-0.85632057097941794</v>
      </c>
      <c r="K376">
        <f t="shared" si="17"/>
        <v>-0.40739757185565462</v>
      </c>
      <c r="L376" t="e">
        <f t="shared" si="17"/>
        <v>#VALUE!</v>
      </c>
      <c r="M376">
        <f t="shared" si="17"/>
        <v>7.6350337092525825E-2</v>
      </c>
      <c r="N376">
        <f t="shared" si="17"/>
        <v>1.7906722766108747</v>
      </c>
      <c r="O376">
        <f t="shared" si="18"/>
        <v>1.6219833948601288</v>
      </c>
    </row>
    <row r="377" spans="1:15" x14ac:dyDescent="0.4">
      <c r="A377">
        <v>36</v>
      </c>
      <c r="B377">
        <v>4</v>
      </c>
      <c r="C377">
        <v>105</v>
      </c>
      <c r="D377" t="s">
        <v>405</v>
      </c>
      <c r="E377">
        <v>1980</v>
      </c>
      <c r="F377">
        <v>15.3</v>
      </c>
      <c r="G377">
        <v>82</v>
      </c>
      <c r="H377">
        <v>2</v>
      </c>
      <c r="I377" t="s">
        <v>285</v>
      </c>
      <c r="J377">
        <f t="shared" si="16"/>
        <v>-0.85632057097941794</v>
      </c>
      <c r="K377">
        <f t="shared" si="17"/>
        <v>-0.84911589500470697</v>
      </c>
      <c r="L377" t="e">
        <f t="shared" si="17"/>
        <v>#DIV/0!</v>
      </c>
      <c r="M377">
        <f t="shared" si="17"/>
        <v>-1.1710230352190858</v>
      </c>
      <c r="N377">
        <f t="shared" si="17"/>
        <v>-9.7337985589876386E-2</v>
      </c>
      <c r="O377">
        <f t="shared" si="18"/>
        <v>1.6219833948601288</v>
      </c>
    </row>
    <row r="378" spans="1:15" x14ac:dyDescent="0.4">
      <c r="A378">
        <v>37</v>
      </c>
      <c r="B378">
        <v>4</v>
      </c>
      <c r="C378">
        <v>91</v>
      </c>
      <c r="D378" t="s">
        <v>386</v>
      </c>
      <c r="E378">
        <v>2025</v>
      </c>
      <c r="F378">
        <v>18.2</v>
      </c>
      <c r="G378">
        <v>82</v>
      </c>
      <c r="H378">
        <v>3</v>
      </c>
      <c r="I378" t="s">
        <v>286</v>
      </c>
      <c r="J378">
        <f t="shared" si="16"/>
        <v>-0.85632057097941794</v>
      </c>
      <c r="K378">
        <f t="shared" si="17"/>
        <v>-0.98355190639789691</v>
      </c>
      <c r="L378" t="e">
        <f t="shared" si="17"/>
        <v>#DIV/0!</v>
      </c>
      <c r="M378">
        <f t="shared" si="17"/>
        <v>-1.1178175359261733</v>
      </c>
      <c r="N378">
        <f t="shared" si="17"/>
        <v>0.95559081448361904</v>
      </c>
      <c r="O378">
        <f t="shared" si="18"/>
        <v>1.6219833948601288</v>
      </c>
    </row>
    <row r="379" spans="1:15" x14ac:dyDescent="0.4">
      <c r="A379">
        <v>31</v>
      </c>
      <c r="B379">
        <v>4</v>
      </c>
      <c r="C379">
        <v>91</v>
      </c>
      <c r="D379" t="s">
        <v>386</v>
      </c>
      <c r="E379">
        <v>1970</v>
      </c>
      <c r="F379">
        <v>17.600000000000001</v>
      </c>
      <c r="G379">
        <v>82</v>
      </c>
      <c r="H379">
        <v>3</v>
      </c>
      <c r="I379" t="s">
        <v>287</v>
      </c>
      <c r="J379">
        <f t="shared" si="16"/>
        <v>-0.85632057097941794</v>
      </c>
      <c r="K379">
        <f t="shared" si="17"/>
        <v>-0.98355190639789691</v>
      </c>
      <c r="L379" t="e">
        <f t="shared" si="17"/>
        <v>#DIV/0!</v>
      </c>
      <c r="M379">
        <f t="shared" si="17"/>
        <v>-1.1828464795063995</v>
      </c>
      <c r="N379">
        <f t="shared" si="17"/>
        <v>0.73774347653737926</v>
      </c>
      <c r="O379">
        <f t="shared" si="18"/>
        <v>1.6219833948601288</v>
      </c>
    </row>
    <row r="380" spans="1:15" x14ac:dyDescent="0.4">
      <c r="A380">
        <v>38</v>
      </c>
      <c r="B380">
        <v>4</v>
      </c>
      <c r="C380">
        <v>105</v>
      </c>
      <c r="D380" t="s">
        <v>390</v>
      </c>
      <c r="E380">
        <v>2125</v>
      </c>
      <c r="F380">
        <v>14.7</v>
      </c>
      <c r="G380">
        <v>82</v>
      </c>
      <c r="H380">
        <v>1</v>
      </c>
      <c r="I380" t="s">
        <v>288</v>
      </c>
      <c r="J380">
        <f t="shared" si="16"/>
        <v>-0.85632057097941794</v>
      </c>
      <c r="K380">
        <f t="shared" si="17"/>
        <v>-0.84911589500470697</v>
      </c>
      <c r="L380" t="e">
        <f t="shared" si="17"/>
        <v>#DIV/0!</v>
      </c>
      <c r="M380">
        <f t="shared" si="17"/>
        <v>-0.99958309305303483</v>
      </c>
      <c r="N380">
        <f t="shared" si="17"/>
        <v>-0.31518532353611745</v>
      </c>
      <c r="O380">
        <f t="shared" si="18"/>
        <v>1.6219833948601288</v>
      </c>
    </row>
    <row r="381" spans="1:15" x14ac:dyDescent="0.4">
      <c r="A381">
        <v>36</v>
      </c>
      <c r="B381">
        <v>4</v>
      </c>
      <c r="C381">
        <v>98</v>
      </c>
      <c r="D381" t="s">
        <v>345</v>
      </c>
      <c r="E381">
        <v>2125</v>
      </c>
      <c r="F381">
        <v>17.3</v>
      </c>
      <c r="G381">
        <v>82</v>
      </c>
      <c r="H381">
        <v>1</v>
      </c>
      <c r="I381" t="s">
        <v>289</v>
      </c>
      <c r="J381">
        <f t="shared" si="16"/>
        <v>-0.85632057097941794</v>
      </c>
      <c r="K381">
        <f t="shared" si="17"/>
        <v>-0.91633390070130194</v>
      </c>
      <c r="L381" t="e">
        <f t="shared" si="17"/>
        <v>#DIV/0!</v>
      </c>
      <c r="M381">
        <f t="shared" si="17"/>
        <v>-0.99958309305303483</v>
      </c>
      <c r="N381">
        <f t="shared" si="17"/>
        <v>0.6288198075642587</v>
      </c>
      <c r="O381">
        <f t="shared" si="18"/>
        <v>1.6219833948601288</v>
      </c>
    </row>
    <row r="382" spans="1:15" x14ac:dyDescent="0.4">
      <c r="A382">
        <v>36</v>
      </c>
      <c r="B382">
        <v>4</v>
      </c>
      <c r="C382">
        <v>120</v>
      </c>
      <c r="D382" t="s">
        <v>328</v>
      </c>
      <c r="E382">
        <v>2160</v>
      </c>
      <c r="F382">
        <v>14.5</v>
      </c>
      <c r="G382">
        <v>82</v>
      </c>
      <c r="H382">
        <v>3</v>
      </c>
      <c r="I382" t="s">
        <v>290</v>
      </c>
      <c r="J382">
        <f t="shared" si="16"/>
        <v>-0.85632057097941794</v>
      </c>
      <c r="K382">
        <f t="shared" si="17"/>
        <v>-0.70507731136914642</v>
      </c>
      <c r="L382" t="e">
        <f t="shared" si="17"/>
        <v>#DIV/0!</v>
      </c>
      <c r="M382">
        <f t="shared" si="17"/>
        <v>-0.95820103804743639</v>
      </c>
      <c r="N382">
        <f t="shared" si="17"/>
        <v>-0.38780110285153069</v>
      </c>
      <c r="O382">
        <f t="shared" si="18"/>
        <v>1.6219833948601288</v>
      </c>
    </row>
    <row r="383" spans="1:15" x14ac:dyDescent="0.4">
      <c r="A383">
        <v>36</v>
      </c>
      <c r="B383">
        <v>4</v>
      </c>
      <c r="C383">
        <v>107</v>
      </c>
      <c r="D383" t="s">
        <v>364</v>
      </c>
      <c r="E383">
        <v>2205</v>
      </c>
      <c r="F383">
        <v>14.5</v>
      </c>
      <c r="G383">
        <v>82</v>
      </c>
      <c r="H383">
        <v>3</v>
      </c>
      <c r="I383" t="s">
        <v>255</v>
      </c>
      <c r="J383">
        <f t="shared" si="16"/>
        <v>-0.85632057097941794</v>
      </c>
      <c r="K383">
        <f t="shared" si="17"/>
        <v>-0.82991075051996555</v>
      </c>
      <c r="L383" t="e">
        <f t="shared" si="17"/>
        <v>#DIV/0!</v>
      </c>
      <c r="M383">
        <f t="shared" si="17"/>
        <v>-0.90499553875452399</v>
      </c>
      <c r="N383">
        <f t="shared" si="17"/>
        <v>-0.38780110285153069</v>
      </c>
      <c r="O383">
        <f t="shared" si="18"/>
        <v>1.6219833948601288</v>
      </c>
    </row>
    <row r="384" spans="1:15" x14ac:dyDescent="0.4">
      <c r="A384">
        <v>34</v>
      </c>
      <c r="B384">
        <v>4</v>
      </c>
      <c r="C384">
        <v>108</v>
      </c>
      <c r="D384" t="s">
        <v>345</v>
      </c>
      <c r="E384">
        <v>2245</v>
      </c>
      <c r="F384">
        <v>16.899999999999999</v>
      </c>
      <c r="G384">
        <v>82</v>
      </c>
      <c r="H384">
        <v>3</v>
      </c>
      <c r="I384" t="s">
        <v>131</v>
      </c>
      <c r="J384">
        <f t="shared" si="16"/>
        <v>-0.85632057097941794</v>
      </c>
      <c r="K384">
        <f t="shared" si="17"/>
        <v>-0.82030817827759495</v>
      </c>
      <c r="L384" t="e">
        <f t="shared" si="17"/>
        <v>#DIV/0!</v>
      </c>
      <c r="M384">
        <f t="shared" si="17"/>
        <v>-0.85770176160526856</v>
      </c>
      <c r="N384">
        <f t="shared" si="17"/>
        <v>0.48358824893343094</v>
      </c>
      <c r="O384">
        <f t="shared" si="18"/>
        <v>1.6219833948601288</v>
      </c>
    </row>
    <row r="385" spans="1:15" x14ac:dyDescent="0.4">
      <c r="A385">
        <v>38</v>
      </c>
      <c r="B385">
        <v>4</v>
      </c>
      <c r="C385">
        <v>91</v>
      </c>
      <c r="D385" t="s">
        <v>367</v>
      </c>
      <c r="E385">
        <v>1965</v>
      </c>
      <c r="F385">
        <v>15</v>
      </c>
      <c r="G385">
        <v>82</v>
      </c>
      <c r="H385">
        <v>3</v>
      </c>
      <c r="I385" t="s">
        <v>118</v>
      </c>
      <c r="J385">
        <f t="shared" si="16"/>
        <v>-0.85632057097941794</v>
      </c>
      <c r="K385">
        <f t="shared" si="17"/>
        <v>-0.98355190639789691</v>
      </c>
      <c r="L385" t="e">
        <f t="shared" si="17"/>
        <v>#DIV/0!</v>
      </c>
      <c r="M385">
        <f t="shared" si="17"/>
        <v>-1.1887582016500564</v>
      </c>
      <c r="N385">
        <f t="shared" si="17"/>
        <v>-0.20626165456299692</v>
      </c>
      <c r="O385">
        <f t="shared" si="18"/>
        <v>1.6219833948601288</v>
      </c>
    </row>
    <row r="386" spans="1:15" x14ac:dyDescent="0.4">
      <c r="A386">
        <v>32</v>
      </c>
      <c r="B386">
        <v>4</v>
      </c>
      <c r="C386">
        <v>91</v>
      </c>
      <c r="D386" t="s">
        <v>367</v>
      </c>
      <c r="E386">
        <v>1965</v>
      </c>
      <c r="F386">
        <v>15.7</v>
      </c>
      <c r="G386">
        <v>82</v>
      </c>
      <c r="H386">
        <v>3</v>
      </c>
      <c r="I386" t="s">
        <v>291</v>
      </c>
      <c r="J386">
        <f t="shared" si="16"/>
        <v>-0.85632057097941794</v>
      </c>
      <c r="K386">
        <f t="shared" si="17"/>
        <v>-0.98355190639789691</v>
      </c>
      <c r="L386" t="e">
        <f t="shared" si="17"/>
        <v>#DIV/0!</v>
      </c>
      <c r="M386">
        <f t="shared" si="17"/>
        <v>-1.1887582016500564</v>
      </c>
      <c r="N386">
        <f t="shared" ref="N386:O399" si="19">(F386-T$2)/T$3</f>
        <v>4.789357304095012E-2</v>
      </c>
      <c r="O386">
        <f t="shared" si="18"/>
        <v>1.6219833948601288</v>
      </c>
    </row>
    <row r="387" spans="1:15" x14ac:dyDescent="0.4">
      <c r="A387">
        <v>38</v>
      </c>
      <c r="B387">
        <v>4</v>
      </c>
      <c r="C387">
        <v>91</v>
      </c>
      <c r="D387" t="s">
        <v>367</v>
      </c>
      <c r="E387">
        <v>1995</v>
      </c>
      <c r="F387">
        <v>16.2</v>
      </c>
      <c r="G387">
        <v>82</v>
      </c>
      <c r="H387">
        <v>3</v>
      </c>
      <c r="I387" t="s">
        <v>292</v>
      </c>
      <c r="J387">
        <f t="shared" ref="J387:J399" si="20">(B387-P$2)/P$3</f>
        <v>-0.85632057097941794</v>
      </c>
      <c r="K387">
        <f t="shared" ref="K387:M399" si="21">(C387-Q$2)/Q$3</f>
        <v>-0.98355190639789691</v>
      </c>
      <c r="L387" t="e">
        <f t="shared" si="21"/>
        <v>#DIV/0!</v>
      </c>
      <c r="M387">
        <f t="shared" si="21"/>
        <v>-1.153287868788115</v>
      </c>
      <c r="N387">
        <f t="shared" si="19"/>
        <v>0.2294330213294839</v>
      </c>
      <c r="O387">
        <f t="shared" si="19"/>
        <v>1.6219833948601288</v>
      </c>
    </row>
    <row r="388" spans="1:15" x14ac:dyDescent="0.4">
      <c r="A388">
        <v>25</v>
      </c>
      <c r="B388">
        <v>6</v>
      </c>
      <c r="C388">
        <v>181</v>
      </c>
      <c r="D388" t="s">
        <v>342</v>
      </c>
      <c r="E388">
        <v>2945</v>
      </c>
      <c r="F388">
        <v>16.399999999999999</v>
      </c>
      <c r="G388">
        <v>82</v>
      </c>
      <c r="H388">
        <v>1</v>
      </c>
      <c r="I388" t="s">
        <v>293</v>
      </c>
      <c r="J388">
        <f t="shared" si="20"/>
        <v>0.3209353435276921</v>
      </c>
      <c r="K388">
        <f t="shared" si="21"/>
        <v>-0.11932040458453347</v>
      </c>
      <c r="L388" t="e">
        <f t="shared" si="21"/>
        <v>#DIV/0!</v>
      </c>
      <c r="M388">
        <f t="shared" si="21"/>
        <v>-3.0060661493298863E-2</v>
      </c>
      <c r="N388">
        <f t="shared" si="19"/>
        <v>0.30204880064489714</v>
      </c>
      <c r="O388">
        <f t="shared" si="19"/>
        <v>1.6219833948601288</v>
      </c>
    </row>
    <row r="389" spans="1:15" x14ac:dyDescent="0.4">
      <c r="A389">
        <v>38</v>
      </c>
      <c r="B389">
        <v>6</v>
      </c>
      <c r="C389">
        <v>262</v>
      </c>
      <c r="D389" t="s">
        <v>327</v>
      </c>
      <c r="E389">
        <v>3015</v>
      </c>
      <c r="F389">
        <v>17</v>
      </c>
      <c r="G389">
        <v>82</v>
      </c>
      <c r="H389">
        <v>1</v>
      </c>
      <c r="I389" t="s">
        <v>294</v>
      </c>
      <c r="J389">
        <f t="shared" si="20"/>
        <v>0.3209353435276921</v>
      </c>
      <c r="K389">
        <f t="shared" si="21"/>
        <v>0.65848794704749358</v>
      </c>
      <c r="L389" t="e">
        <f t="shared" si="21"/>
        <v>#DIV/0!</v>
      </c>
      <c r="M389">
        <f t="shared" si="21"/>
        <v>5.2703448517898113E-2</v>
      </c>
      <c r="N389">
        <f t="shared" si="19"/>
        <v>0.51989613859113826</v>
      </c>
      <c r="O389">
        <f t="shared" si="19"/>
        <v>1.6219833948601288</v>
      </c>
    </row>
    <row r="390" spans="1:15" x14ac:dyDescent="0.4">
      <c r="A390">
        <v>26</v>
      </c>
      <c r="B390">
        <v>4</v>
      </c>
      <c r="C390">
        <v>156</v>
      </c>
      <c r="D390" t="s">
        <v>355</v>
      </c>
      <c r="E390">
        <v>2585</v>
      </c>
      <c r="F390">
        <v>14.5</v>
      </c>
      <c r="G390">
        <v>82</v>
      </c>
      <c r="H390">
        <v>1</v>
      </c>
      <c r="I390" t="s">
        <v>295</v>
      </c>
      <c r="J390">
        <f t="shared" si="20"/>
        <v>-0.85632057097941794</v>
      </c>
      <c r="K390">
        <f t="shared" si="21"/>
        <v>-0.35938471064380106</v>
      </c>
      <c r="L390" t="e">
        <f t="shared" si="21"/>
        <v>#DIV/0!</v>
      </c>
      <c r="M390">
        <f t="shared" si="21"/>
        <v>-0.45570465583659758</v>
      </c>
      <c r="N390">
        <f t="shared" si="19"/>
        <v>-0.38780110285153069</v>
      </c>
      <c r="O390">
        <f t="shared" si="19"/>
        <v>1.6219833948601288</v>
      </c>
    </row>
    <row r="391" spans="1:15" x14ac:dyDescent="0.4">
      <c r="A391">
        <v>22</v>
      </c>
      <c r="B391">
        <v>6</v>
      </c>
      <c r="C391">
        <v>232</v>
      </c>
      <c r="D391" t="s">
        <v>354</v>
      </c>
      <c r="E391">
        <v>2835</v>
      </c>
      <c r="F391">
        <v>14.7</v>
      </c>
      <c r="G391">
        <v>82</v>
      </c>
      <c r="H391">
        <v>1</v>
      </c>
      <c r="I391" t="s">
        <v>296</v>
      </c>
      <c r="J391">
        <f t="shared" si="20"/>
        <v>0.3209353435276921</v>
      </c>
      <c r="K391">
        <f t="shared" si="21"/>
        <v>0.37041077977637243</v>
      </c>
      <c r="L391" t="e">
        <f t="shared" si="21"/>
        <v>#DIV/0!</v>
      </c>
      <c r="M391">
        <f t="shared" si="21"/>
        <v>-0.16011854865375125</v>
      </c>
      <c r="N391">
        <f t="shared" si="19"/>
        <v>-0.31518532353611745</v>
      </c>
      <c r="O391">
        <f t="shared" si="19"/>
        <v>1.6219833948601288</v>
      </c>
    </row>
    <row r="392" spans="1:15" x14ac:dyDescent="0.4">
      <c r="A392">
        <v>32</v>
      </c>
      <c r="B392">
        <v>4</v>
      </c>
      <c r="C392">
        <v>144</v>
      </c>
      <c r="D392" t="s">
        <v>375</v>
      </c>
      <c r="E392">
        <v>2665</v>
      </c>
      <c r="F392">
        <v>13.9</v>
      </c>
      <c r="G392">
        <v>82</v>
      </c>
      <c r="H392">
        <v>3</v>
      </c>
      <c r="I392" t="s">
        <v>297</v>
      </c>
      <c r="J392">
        <f t="shared" si="20"/>
        <v>-0.85632057097941794</v>
      </c>
      <c r="K392">
        <f t="shared" si="21"/>
        <v>-0.47461557755224953</v>
      </c>
      <c r="L392" t="e">
        <f t="shared" si="21"/>
        <v>#DIV/0!</v>
      </c>
      <c r="M392">
        <f t="shared" si="21"/>
        <v>-0.36111710153808674</v>
      </c>
      <c r="N392">
        <f t="shared" si="19"/>
        <v>-0.60564844079777114</v>
      </c>
      <c r="O392">
        <f t="shared" si="19"/>
        <v>1.6219833948601288</v>
      </c>
    </row>
    <row r="393" spans="1:15" x14ac:dyDescent="0.4">
      <c r="A393">
        <v>36</v>
      </c>
      <c r="B393">
        <v>4</v>
      </c>
      <c r="C393">
        <v>135</v>
      </c>
      <c r="D393" t="s">
        <v>403</v>
      </c>
      <c r="E393">
        <v>2370</v>
      </c>
      <c r="F393">
        <v>13</v>
      </c>
      <c r="G393">
        <v>82</v>
      </c>
      <c r="H393">
        <v>1</v>
      </c>
      <c r="I393" t="s">
        <v>298</v>
      </c>
      <c r="J393">
        <f t="shared" si="20"/>
        <v>-0.85632057097941794</v>
      </c>
      <c r="K393">
        <f t="shared" si="21"/>
        <v>-0.56103872773358587</v>
      </c>
      <c r="L393" t="e">
        <f t="shared" si="21"/>
        <v>#DIV/0!</v>
      </c>
      <c r="M393">
        <f t="shared" si="21"/>
        <v>-0.70990870801384542</v>
      </c>
      <c r="N393">
        <f t="shared" si="19"/>
        <v>-0.93241944771713203</v>
      </c>
      <c r="O393">
        <f t="shared" si="19"/>
        <v>1.6219833948601288</v>
      </c>
    </row>
    <row r="394" spans="1:15" x14ac:dyDescent="0.4">
      <c r="A394">
        <v>27</v>
      </c>
      <c r="B394">
        <v>4</v>
      </c>
      <c r="C394">
        <v>151</v>
      </c>
      <c r="D394" t="s">
        <v>331</v>
      </c>
      <c r="E394">
        <v>2950</v>
      </c>
      <c r="F394">
        <v>17.3</v>
      </c>
      <c r="G394">
        <v>82</v>
      </c>
      <c r="H394">
        <v>1</v>
      </c>
      <c r="I394" t="s">
        <v>299</v>
      </c>
      <c r="J394">
        <f t="shared" si="20"/>
        <v>-0.85632057097941794</v>
      </c>
      <c r="K394">
        <f t="shared" si="21"/>
        <v>-0.40739757185565462</v>
      </c>
      <c r="L394" t="e">
        <f t="shared" si="21"/>
        <v>#DIV/0!</v>
      </c>
      <c r="M394">
        <f t="shared" si="21"/>
        <v>-2.4148939349641935E-2</v>
      </c>
      <c r="N394">
        <f t="shared" si="19"/>
        <v>0.6288198075642587</v>
      </c>
      <c r="O394">
        <f t="shared" si="19"/>
        <v>1.6219833948601288</v>
      </c>
    </row>
    <row r="395" spans="1:15" x14ac:dyDescent="0.4">
      <c r="A395">
        <v>27</v>
      </c>
      <c r="B395">
        <v>4</v>
      </c>
      <c r="C395">
        <v>140</v>
      </c>
      <c r="D395" t="s">
        <v>344</v>
      </c>
      <c r="E395">
        <v>2790</v>
      </c>
      <c r="F395">
        <v>15.6</v>
      </c>
      <c r="G395">
        <v>82</v>
      </c>
      <c r="H395">
        <v>1</v>
      </c>
      <c r="I395" t="s">
        <v>300</v>
      </c>
      <c r="J395">
        <f t="shared" si="20"/>
        <v>-0.85632057097941794</v>
      </c>
      <c r="K395">
        <f t="shared" si="21"/>
        <v>-0.51302586652173232</v>
      </c>
      <c r="L395" t="e">
        <f t="shared" si="21"/>
        <v>#DIV/0!</v>
      </c>
      <c r="M395">
        <f t="shared" si="21"/>
        <v>-0.2133240479466636</v>
      </c>
      <c r="N395">
        <f t="shared" si="19"/>
        <v>1.158568338324349E-2</v>
      </c>
      <c r="O395">
        <f t="shared" si="19"/>
        <v>1.6219833948601288</v>
      </c>
    </row>
    <row r="396" spans="1:15" x14ac:dyDescent="0.4">
      <c r="A396">
        <v>44</v>
      </c>
      <c r="B396">
        <v>4</v>
      </c>
      <c r="C396">
        <v>97</v>
      </c>
      <c r="D396" t="s">
        <v>370</v>
      </c>
      <c r="E396">
        <v>2130</v>
      </c>
      <c r="F396">
        <v>24.6</v>
      </c>
      <c r="G396">
        <v>82</v>
      </c>
      <c r="H396">
        <v>2</v>
      </c>
      <c r="I396" t="s">
        <v>301</v>
      </c>
      <c r="J396">
        <f t="shared" si="20"/>
        <v>-0.85632057097941794</v>
      </c>
      <c r="K396">
        <f t="shared" si="21"/>
        <v>-0.92593647294367265</v>
      </c>
      <c r="L396" t="e">
        <f t="shared" si="21"/>
        <v>#DIV/0!</v>
      </c>
      <c r="M396">
        <f t="shared" si="21"/>
        <v>-0.99367137090937796</v>
      </c>
      <c r="N396">
        <f t="shared" si="19"/>
        <v>3.2792957525768522</v>
      </c>
      <c r="O396">
        <f t="shared" si="19"/>
        <v>1.6219833948601288</v>
      </c>
    </row>
    <row r="397" spans="1:15" x14ac:dyDescent="0.4">
      <c r="A397">
        <v>32</v>
      </c>
      <c r="B397">
        <v>4</v>
      </c>
      <c r="C397">
        <v>135</v>
      </c>
      <c r="D397" t="s">
        <v>403</v>
      </c>
      <c r="E397">
        <v>2295</v>
      </c>
      <c r="F397">
        <v>11.6</v>
      </c>
      <c r="G397">
        <v>82</v>
      </c>
      <c r="H397">
        <v>1</v>
      </c>
      <c r="I397" t="s">
        <v>302</v>
      </c>
      <c r="J397">
        <f t="shared" si="20"/>
        <v>-0.85632057097941794</v>
      </c>
      <c r="K397">
        <f t="shared" si="21"/>
        <v>-0.56103872773358587</v>
      </c>
      <c r="L397" t="e">
        <f t="shared" si="21"/>
        <v>#DIV/0!</v>
      </c>
      <c r="M397">
        <f t="shared" si="21"/>
        <v>-0.79858454016869929</v>
      </c>
      <c r="N397">
        <f t="shared" si="19"/>
        <v>-1.4407299029250267</v>
      </c>
      <c r="O397">
        <f t="shared" si="19"/>
        <v>1.6219833948601288</v>
      </c>
    </row>
    <row r="398" spans="1:15" x14ac:dyDescent="0.4">
      <c r="A398">
        <v>28</v>
      </c>
      <c r="B398">
        <v>4</v>
      </c>
      <c r="C398">
        <v>120</v>
      </c>
      <c r="D398" t="s">
        <v>381</v>
      </c>
      <c r="E398">
        <v>2625</v>
      </c>
      <c r="F398">
        <v>18.600000000000001</v>
      </c>
      <c r="G398">
        <v>82</v>
      </c>
      <c r="H398">
        <v>1</v>
      </c>
      <c r="I398" t="s">
        <v>303</v>
      </c>
      <c r="J398">
        <f t="shared" si="20"/>
        <v>-0.85632057097941794</v>
      </c>
      <c r="K398">
        <f t="shared" si="21"/>
        <v>-0.70507731136914642</v>
      </c>
      <c r="L398" t="e">
        <f t="shared" si="21"/>
        <v>#DIV/0!</v>
      </c>
      <c r="M398">
        <f t="shared" si="21"/>
        <v>-0.40841087868734216</v>
      </c>
      <c r="N398">
        <f t="shared" si="19"/>
        <v>1.1008223731144469</v>
      </c>
      <c r="O398">
        <f t="shared" si="19"/>
        <v>1.6219833948601288</v>
      </c>
    </row>
    <row r="399" spans="1:15" x14ac:dyDescent="0.4">
      <c r="A399">
        <v>31</v>
      </c>
      <c r="B399">
        <v>4</v>
      </c>
      <c r="C399">
        <v>119</v>
      </c>
      <c r="D399" t="s">
        <v>407</v>
      </c>
      <c r="E399">
        <v>2720</v>
      </c>
      <c r="F399">
        <v>19.399999999999999</v>
      </c>
      <c r="G399">
        <v>82</v>
      </c>
      <c r="H399">
        <v>1</v>
      </c>
      <c r="I399" t="s">
        <v>304</v>
      </c>
      <c r="J399">
        <f t="shared" si="20"/>
        <v>-0.85632057097941794</v>
      </c>
      <c r="K399">
        <f t="shared" si="21"/>
        <v>-0.71467988361151713</v>
      </c>
      <c r="L399" t="e">
        <f t="shared" si="21"/>
        <v>#DIV/0!</v>
      </c>
      <c r="M399">
        <f t="shared" si="21"/>
        <v>-0.29608815795786059</v>
      </c>
      <c r="N399">
        <f t="shared" si="19"/>
        <v>1.3912854903760998</v>
      </c>
      <c r="O399">
        <f t="shared" si="19"/>
        <v>1.6219833948601288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A6BB-1B05-4EAA-94C5-E87A7C734CB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A1127-45B1-400D-8B91-15AC5A76D8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auto-mpg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Spiesman</dc:creator>
  <cp:lastModifiedBy>Joshua Spiesman</cp:lastModifiedBy>
  <dcterms:created xsi:type="dcterms:W3CDTF">2026-01-15T02:56:20Z</dcterms:created>
  <dcterms:modified xsi:type="dcterms:W3CDTF">2026-01-15T03:51:29Z</dcterms:modified>
</cp:coreProperties>
</file>